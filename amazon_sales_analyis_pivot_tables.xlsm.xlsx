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Desktop\Excel Project\"/>
    </mc:Choice>
  </mc:AlternateContent>
  <xr:revisionPtr revIDLastSave="0" documentId="13_ncr:9_{AC370177-A618-4544-8CEF-223366E80FFB}" xr6:coauthVersionLast="47" xr6:coauthVersionMax="47" xr10:uidLastSave="{00000000-0000-0000-0000-000000000000}"/>
  <bookViews>
    <workbookView xWindow="-120" yWindow="-120" windowWidth="20730" windowHeight="11160" activeTab="1" xr2:uid="{2CE7E23C-FF53-498B-AC02-E58AD9796ED1}"/>
  </bookViews>
  <sheets>
    <sheet name="amazon_sales_analyis_pivot_tabl" sheetId="2" r:id="rId1"/>
    <sheet name="amazon_sales_analyis_proj" sheetId="3" r:id="rId2"/>
    <sheet name="amazon_sales_data 2025 (1)" sheetId="1" r:id="rId3"/>
  </sheets>
  <definedNames>
    <definedName name="_xlnm._FilterDatabase" localSheetId="2" hidden="1">'amazon_sales_data 2025 (1)'!$K$1:$K$252</definedName>
    <definedName name="Slicer_Category">#N/A</definedName>
    <definedName name="Slicer_Customer_Location">#N/A</definedName>
    <definedName name="Slicer_Month">#N/A</definedName>
    <definedName name="Slicer_Status">#N/A</definedName>
  </definedNames>
  <calcPr calcId="0"/>
  <pivotCaches>
    <pivotCache cacheId="2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 i="1"/>
</calcChain>
</file>

<file path=xl/sharedStrings.xml><?xml version="1.0" encoding="utf-8"?>
<sst xmlns="http://schemas.openxmlformats.org/spreadsheetml/2006/main" count="1824" uniqueCount="310">
  <si>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</si>
  <si>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</si>
  <si>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</si>
  <si>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</si>
  <si>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</si>
  <si>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</si>
  <si>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</si>
  <si>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</si>
  <si>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</si>
  <si>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</si>
  <si>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</si>
  <si>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</si>
  <si>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</si>
  <si>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</si>
  <si>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</si>
  <si>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</si>
  <si>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</si>
  <si>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</si>
  <si>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</si>
  <si>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</si>
  <si>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</si>
  <si>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</si>
  <si>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</si>
  <si>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</si>
  <si>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</si>
  <si>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</si>
  <si>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</si>
  <si>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</si>
  <si>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</si>
  <si>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</si>
  <si>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</si>
  <si>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</si>
  <si>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</si>
  <si>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</si>
  <si>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</si>
  <si>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</si>
  <si>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</si>
  <si>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</si>
  <si>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</si>
  <si>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</si>
  <si>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</si>
  <si>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</si>
  <si>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</si>
  <si>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</si>
  <si>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</si>
  <si>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</si>
  <si>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</si>
  <si>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</si>
  <si>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</si>
  <si>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</si>
  <si>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</si>
  <si>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</si>
  <si>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</si>
  <si>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</si>
  <si>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</si>
  <si>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</si>
  <si>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</si>
  <si>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</si>
  <si>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</si>
  <si>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</si>
  <si>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</si>
  <si>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</si>
  <si>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</si>
  <si>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</si>
  <si>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</si>
  <si>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</si>
  <si>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</si>
  <si>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</si>
  <si>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</si>
  <si>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</si>
  <si>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</si>
  <si>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</si>
  <si>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</si>
  <si>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</si>
  <si>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</si>
  <si>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</si>
  <si>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</si>
  <si>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</si>
  <si>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</si>
  <si>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</si>
  <si>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</si>
  <si>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</si>
  <si>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</si>
  <si>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</si>
  <si>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</si>
  <si>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</si>
  <si>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</si>
  <si>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</si>
  <si>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</si>
  <si>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</si>
  <si>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</si>
  <si>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</si>
  <si>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</si>
  <si>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</si>
  <si>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</si>
  <si>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</si>
  <si>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</si>
  <si>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</si>
  <si>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</si>
  <si>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</si>
  <si>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</si>
  <si>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</si>
  <si>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</si>
  <si>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</si>
  <si>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</si>
  <si>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</si>
  <si>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</si>
  <si>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</si>
  <si>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</si>
  <si>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</si>
  <si>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</si>
  <si>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</si>
  <si>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</si>
  <si>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</si>
  <si>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</si>
  <si>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</si>
  <si>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</si>
  <si>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</si>
  <si>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</si>
  <si>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</si>
  <si>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</si>
  <si>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</si>
  <si>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</si>
  <si>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</si>
  <si>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</si>
  <si>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</si>
  <si>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</si>
  <si>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</si>
  <si>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</si>
  <si>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</si>
  <si>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</si>
  <si>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</si>
  <si>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</si>
  <si>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</si>
  <si>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</si>
  <si>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</si>
  <si>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</si>
  <si>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</si>
  <si>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</si>
  <si>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</si>
  <si>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</si>
  <si>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</si>
  <si>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</si>
  <si>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</si>
  <si>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</si>
  <si>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</si>
  <si>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</si>
  <si>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</si>
  <si>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</si>
  <si>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</si>
  <si>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</si>
  <si>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</si>
  <si>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</si>
  <si>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</si>
  <si>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</si>
  <si>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</si>
  <si>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</si>
  <si>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</si>
  <si>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</si>
  <si>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</si>
  <si>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</si>
  <si>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</si>
  <si>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</si>
  <si>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</si>
  <si>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</si>
  <si>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</si>
  <si>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</si>
  <si>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</si>
  <si>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</si>
  <si>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</si>
  <si>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</si>
  <si>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</si>
  <si>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</si>
  <si>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</si>
  <si>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</si>
  <si>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</si>
  <si>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</si>
  <si>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</si>
  <si>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</si>
  <si>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</si>
  <si>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</si>
  <si>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</si>
  <si>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</si>
  <si>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</si>
  <si>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</si>
  <si>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</si>
  <si>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</si>
  <si>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</si>
  <si>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</si>
  <si>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</si>
  <si>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</si>
  <si>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</si>
  <si>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</si>
  <si>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</si>
  <si>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</si>
  <si>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</si>
  <si>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</si>
  <si>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</si>
  <si>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</si>
  <si>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</si>
  <si>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</si>
  <si>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</si>
  <si>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</si>
  <si>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</si>
  <si>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</si>
  <si>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</si>
  <si>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</si>
  <si>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</si>
  <si>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</si>
  <si>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</si>
  <si>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</si>
  <si>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</si>
  <si>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</si>
  <si>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</si>
  <si>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</si>
  <si>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</si>
  <si>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</si>
  <si>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</si>
  <si>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</si>
  <si>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</si>
  <si>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</si>
  <si>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</si>
  <si>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</si>
  <si>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</si>
  <si>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</si>
  <si>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</si>
  <si>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</si>
  <si>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</si>
  <si>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</si>
  <si>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</si>
  <si>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</si>
  <si>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</si>
  <si>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</si>
  <si>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</si>
  <si>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</si>
  <si>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</si>
  <si>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</si>
  <si>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</si>
  <si>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</si>
  <si>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</si>
  <si>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</si>
  <si>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</si>
  <si>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</si>
  <si>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</si>
  <si>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</si>
  <si>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</si>
  <si>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</si>
  <si>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</si>
  <si>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</si>
  <si>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</si>
  <si>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</si>
  <si>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</si>
  <si>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</si>
  <si>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</si>
  <si>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</si>
  <si>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</si>
  <si>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</si>
  <si>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</si>
  <si>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</si>
  <si>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</si>
  <si>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</si>
  <si>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</si>
  <si>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</si>
  <si>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</si>
  <si>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</si>
  <si>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</si>
  <si>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</si>
  <si>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</si>
  <si>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</si>
  <si>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</si>
  <si>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</si>
  <si>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</si>
  <si>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</si>
  <si>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</si>
  <si>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</si>
  <si>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</si>
  <si>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</si>
  <si>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</si>
  <si>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</si>
  <si>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</si>
  <si>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</si>
  <si>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</si>
  <si>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</si>
  <si>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</si>
  <si>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</si>
  <si>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</si>
  <si>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</si>
  <si>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</si>
  <si>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</si>
  <si>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</si>
  <si>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</si>
  <si>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</si>
  <si>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</si>
  <si>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</si>
  <si>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</si>
  <si>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</si>
  <si>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</si>
  <si>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</si>
  <si>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</si>
  <si>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</si>
  <si>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</si>
  <si>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</si>
  <si>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</si>
  <si>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</si>
  <si>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</si>
  <si>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Row Labels</t>
  </si>
  <si>
    <t>Grand Total</t>
  </si>
  <si>
    <t>Sum of Total Sales</t>
  </si>
  <si>
    <t>Count of Order ID</t>
  </si>
  <si>
    <t xml:space="preserve">             Amazon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</si>
</sst>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F800]dddd\,\ mmmm\ dd\,\ yyyy"/>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sz val="24"/>
      <color theme="0"/>
      <name val="Bahnschrift SemiBold"/>
      <family val="2"/>
    </font>
    <font>
      <sz val="22"/>
      <color theme="0"/>
      <name val="Goudy Old Style"/>
      <family val="1"/>
    </font>
    <font>
      <sz val="20"/>
      <color theme="0"/>
      <name val="Goudy Old Style"/>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5" fontId="0" fillId="0" borderId="0" xfId="0" applyNumberFormat="1"/>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21" fillId="33" borderId="0" xfId="0" applyFont="1" applyFill="1" applyAlignment="1">
      <alignment horizontal="center" vertical="center"/>
    </xf>
    <xf numFmtId="0" fontId="21" fillId="34" borderId="0" xfId="0" applyFont="1" applyFill="1" applyAlignment="1">
      <alignment horizontal="center" vertical="center"/>
    </xf>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ill>
        <patternFill>
          <bgColor rgb="FFFF0000"/>
        </patternFill>
      </fill>
    </dxf>
  </dxfs>
  <tableStyles count="1" defaultTableStyle="TableStyleMedium2" defaultPivotStyle="PivotStyleLight16">
    <tableStyle name="Slicer Style 1" pivot="0" table="0" count="1" xr9:uid="{662B7C3D-28DC-460C-9539-1D8A1D3FB70F}">
      <tableStyleElement type="wholeTable" dxfId="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[amazon_sales_analyis_pivot_tables.xlsm.xlsx]amazon_sales_analyis_pivot_tabl!PivotTable1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93175853018373"/>
          <c:y val="0.22915942028985506"/>
          <c:w val="0.688786648305733"/>
          <c:h val="0.44650507816957669"/>
        </c:manualLayout>
      </c:layout>
      <c:barChart>
        <c:barDir val="col"/>
        <c:grouping val="clustered"/>
        <c:varyColors val="0"/>
        <c:ser>
          <c:idx val="0"/>
          <c:order val="0"/>
          <c:tx>
            <c:strRef>
              <c:f>amazon_sales_analyis_pivot_tabl!$B$3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amazon_sales_analyis_pivot_tabl!$A$4:$A$9</c:f>
              <c:strCache>
                <c:ptCount val="5"/>
                <c:pt idx="0">
                  <c:v>Books</c:v>
                </c:pt>
                <c:pt idx="1">
                  <c:v>Clothing</c:v>
                </c:pt>
                <c:pt idx="2">
                  <c:v>Electronics</c:v>
                </c:pt>
                <c:pt idx="3">
                  <c:v>Footwear</c:v>
                </c:pt>
                <c:pt idx="4">
                  <c:v>Home Appliances</c:v>
                </c:pt>
              </c:strCache>
            </c:strRef>
          </c:cat>
          <c:val>
            <c:numRef>
              <c:f>amazon_sales_analyis_pivot_tabl!$B$4:$B$9</c:f>
              <c:numCache>
                <c:formatCode>0</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2B80-484A-B755-20BBA44AA1E9}"/>
            </c:ext>
          </c:extLst>
        </c:ser>
        <c:dLbls>
          <c:dLblPos val="inEnd"/>
          <c:showLegendKey val="0"/>
          <c:showVal val="1"/>
          <c:showCatName val="0"/>
          <c:showSerName val="0"/>
          <c:showPercent val="0"/>
          <c:showBubbleSize val="0"/>
        </c:dLbls>
        <c:gapWidth val="100"/>
        <c:overlap val="-24"/>
        <c:axId val="278863839"/>
        <c:axId val="278881599"/>
      </c:barChart>
      <c:catAx>
        <c:axId val="2788638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Categories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881599"/>
        <c:crosses val="autoZero"/>
        <c:auto val="1"/>
        <c:lblAlgn val="ctr"/>
        <c:lblOffset val="100"/>
        <c:noMultiLvlLbl val="0"/>
      </c:catAx>
      <c:valAx>
        <c:axId val="2788815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86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[amazon_sales_analyis_pivot_tables.xlsm.xlsx]amazon_sales_analyis_pivot_tabl!PivotTable4</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03905781873728"/>
              <c:y val="0.228364155100860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22615219721328"/>
                  <c:h val="0.23546506734460881"/>
                </c:manualLayout>
              </c15:layout>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637837472888244"/>
              <c:y val="-3.0971398234213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2420268206024085"/>
          <c:y val="0.20911725795974212"/>
          <c:w val="0.57731777096994707"/>
          <c:h val="0.73815734100478458"/>
        </c:manualLayout>
      </c:layout>
      <c:pieChart>
        <c:varyColors val="1"/>
        <c:ser>
          <c:idx val="0"/>
          <c:order val="0"/>
          <c:tx>
            <c:strRef>
              <c:f>amazon_sales_analyis_pivot_tabl!$K$3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62-4CEB-9316-CA696F5979C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62-4CEB-9316-CA696F5979C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62-4CEB-9316-CA696F5979C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062-4CEB-9316-CA696F5979C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062-4CEB-9316-CA696F5979CA}"/>
              </c:ext>
            </c:extLst>
          </c:dPt>
          <c:dLbls>
            <c:dLbl>
              <c:idx val="0"/>
              <c:layout>
                <c:manualLayout>
                  <c:x val="-0.15203905781873728"/>
                  <c:y val="0.2283641551008604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322615219721328"/>
                      <c:h val="0.23546506734460881"/>
                    </c:manualLayout>
                  </c15:layout>
                </c:ext>
                <c:ext xmlns:c16="http://schemas.microsoft.com/office/drawing/2014/chart" uri="{C3380CC4-5D6E-409C-BE32-E72D297353CC}">
                  <c16:uniqueId val="{00000001-7062-4CEB-9316-CA696F5979CA}"/>
                </c:ext>
              </c:extLst>
            </c:dLbl>
            <c:dLbl>
              <c:idx val="1"/>
              <c:layout>
                <c:manualLayout>
                  <c:x val="-0.18637837472888244"/>
                  <c:y val="-3.09713982342137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62-4CEB-9316-CA696F5979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amazon_sales_analyis_pivot_tabl!$J$4:$J$9</c:f>
              <c:strCache>
                <c:ptCount val="5"/>
                <c:pt idx="0">
                  <c:v>Amazon Pay</c:v>
                </c:pt>
                <c:pt idx="1">
                  <c:v>Credit Card</c:v>
                </c:pt>
                <c:pt idx="2">
                  <c:v>Debit Card</c:v>
                </c:pt>
                <c:pt idx="3">
                  <c:v>Gift Card</c:v>
                </c:pt>
                <c:pt idx="4">
                  <c:v>PayPal</c:v>
                </c:pt>
              </c:strCache>
            </c:strRef>
          </c:cat>
          <c:val>
            <c:numRef>
              <c:f>amazon_sales_analyis_pivot_tabl!$K$4:$K$9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7062-4CEB-9316-CA696F5979C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[amazon_sales_analyis_pivot_tables.xlsm.xlsx]amazon_sales_analyis_pivot_tabl!PivotTable9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amazon_sales_analyis_pivot_tabl!$E$3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amazon_sales_analyis_pivot_tabl!$D$4:$D$14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amazon_sales_analyis_pivot_tabl!$E$4:$E$14</c:f>
              <c:numCache>
                <c:formatCode>0</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B855-4565-BBDD-0A42E5902E72}"/>
            </c:ext>
          </c:extLst>
        </c:ser>
        <c:dLbls>
          <c:dLblPos val="outEnd"/>
          <c:showLegendKey val="0"/>
          <c:showVal val="1"/>
          <c:showCatName val="0"/>
          <c:showSerName val="0"/>
          <c:showPercent val="0"/>
          <c:showBubbleSize val="0"/>
        </c:dLbls>
        <c:gapWidth val="150"/>
        <c:axId val="419538415"/>
        <c:axId val="419539855"/>
      </c:barChart>
      <c:catAx>
        <c:axId val="4195384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9539855"/>
        <c:crosses val="autoZero"/>
        <c:auto val="1"/>
        <c:lblAlgn val="ctr"/>
        <c:lblOffset val="100"/>
        <c:noMultiLvlLbl val="0"/>
      </c:catAx>
      <c:valAx>
        <c:axId val="4195398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953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[amazon_sales_analyis_pivot_tables.xlsm.xlsx]amazon_sales_analyis_pivot_tabl!PivotTable5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a:t>
            </a:r>
            <a:r>
              <a:rPr lang="en-IN" baseline="0"/>
              <a: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glow rad="139700">
                      <a:schemeClr val="accent2">
                        <a:satMod val="175000"/>
                        <a:alpha val="40000"/>
                      </a:schemeClr>
                    </a:glo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15578509344391"/>
          <c:y val="0.36125010552243353"/>
          <c:w val="0.51021765646132111"/>
          <c:h val="0.58310561199369049"/>
        </c:manualLayout>
      </c:layout>
      <c:doughnutChart>
        <c:varyColors val="1"/>
        <c:ser>
          <c:idx val="0"/>
          <c:order val="0"/>
          <c:tx>
            <c:strRef>
              <c:f>amazon_sales_analyis_pivot_tabl!$N$3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DD-4157-9F57-D45DD748ABD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DD-4157-9F57-D45DD748ABD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DD-4157-9F57-D45DD748AB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glow rad="139700">
                        <a:schemeClr val="accent2">
                          <a:satMod val="175000"/>
                          <a:alpha val="40000"/>
                        </a:schemeClr>
                      </a:glow>
                    </a:effectLst>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amazon_sales_analyis_pivot_tabl!$M$4:$M$7</c:f>
              <c:strCache>
                <c:ptCount val="3"/>
                <c:pt idx="0">
                  <c:v>Cancelled</c:v>
                </c:pt>
                <c:pt idx="1">
                  <c:v>Completed</c:v>
                </c:pt>
                <c:pt idx="2">
                  <c:v>Pending</c:v>
                </c:pt>
              </c:strCache>
            </c:strRef>
          </c:cat>
          <c:val>
            <c:numRef>
              <c:f>amazon_sales_analyis_pivot_tabl!$N$4:$N$7</c:f>
              <c:numCache>
                <c:formatCode>General</c:formatCode>
                <c:ptCount val="3"/>
                <c:pt idx="0">
                  <c:v>77</c:v>
                </c:pt>
                <c:pt idx="1">
                  <c:v>88</c:v>
                </c:pt>
                <c:pt idx="2">
                  <c:v>85</c:v>
                </c:pt>
              </c:numCache>
            </c:numRef>
          </c:val>
          <c:extLst>
            <c:ext xmlns:c16="http://schemas.microsoft.com/office/drawing/2014/chart" uri="{C3380CC4-5D6E-409C-BE32-E72D297353CC}">
              <c16:uniqueId val="{00000006-98DD-4157-9F57-D45DD748ABD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[amazon_sales_analyis_pivot_tables.xlsm.xlsx]amazon_sales_analyis_pivot_tabl!PivotTable3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a:t>
            </a:r>
            <a:r>
              <a:rPr lang="en-US" baseline="0"/>
              <a:t>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amazon_sales_analyis_pivot_tabl!$H$3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amazon_sales_analyis_pivot_tabl!$G$4:$G$14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amazon_sales_analyis_pivot_tabl!$H$4:$H$14</c:f>
              <c:numCache>
                <c:formatCode>0</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D1E6-4F7F-AD7B-2C4DEA9F0771}"/>
            </c:ext>
          </c:extLst>
        </c:ser>
        <c:dLbls>
          <c:dLblPos val="outEnd"/>
          <c:showLegendKey val="0"/>
          <c:showVal val="1"/>
          <c:showCatName val="0"/>
          <c:showSerName val="0"/>
          <c:showPercent val="0"/>
          <c:showBubbleSize val="0"/>
        </c:dLbls>
        <c:gapWidth val="115"/>
        <c:overlap val="-20"/>
        <c:axId val="278872959"/>
        <c:axId val="278877759"/>
      </c:barChart>
      <c:catAx>
        <c:axId val="2788729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877759"/>
        <c:crosses val="autoZero"/>
        <c:auto val="1"/>
        <c:lblAlgn val="ctr"/>
        <c:lblOffset val="100"/>
        <c:noMultiLvlLbl val="0"/>
      </c:catAx>
      <c:valAx>
        <c:axId val="27887775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887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523875</xdr:colOff>
      <xdr:row>10</xdr:row>
      <xdr:rowOff>152401</xdr:rowOff>
    </xdr:from>
    <xdr:to>
      <xdr:col>12</xdr:col>
      <xdr:colOff>523875</xdr:colOff>
      <xdr:row>25</xdr:row>
      <xdr:rowOff>95251</xdr:rowOff>
    </xdr:to>
    <mc:AlternateContent xmlns:mc="http://schemas.openxmlformats.org/markup-compatibility/2006">
      <mc:Choice xmlns:a14="http://schemas.microsoft.com/office/drawing/2010/main" Requires="a14">
        <xdr:graphicFrame macro="">
          <xdr:nvGraphicFramePr>
            <xdr:cNvPr id="11" name="Customer Location">
              <a:extLst>
                <a:ext uri="{FF2B5EF4-FFF2-40B4-BE49-F238E27FC236}">
                  <a16:creationId xmlns:a16="http://schemas.microsoft.com/office/drawing/2014/main" id="{A82A2566-F1B3-BD2F-CE2A-A5F213D2D010}"/>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9782175" y="2057401"/>
              <a:ext cx="1828800" cy="280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276225</xdr:colOff>
      <xdr:row>12</xdr:row>
      <xdr:rowOff>180975</xdr:rowOff>
    </xdr:to>
    <xdr:graphicFrame macro="">
      <xdr:nvGraphicFramePr>
        <xdr:cNvPr id="2" name="Chart 1">
          <a:extLst>
            <a:ext uri="{FF2B5EF4-FFF2-40B4-BE49-F238E27FC236}">
              <a16:creationId xmlns:a16="http://schemas.microsoft.com/office/drawing/2014/main" id="{E9E4141E-D132-4EC1-8AE5-A5157A628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247650</xdr:colOff>
      <xdr:row>13</xdr:row>
      <xdr:rowOff>7284</xdr:rowOff>
    </xdr:from>
    <xdr:to>
      <xdr:col>11</xdr:col>
      <xdr:colOff>161925</xdr:colOff>
      <xdr:row>25</xdr:row>
      <xdr:rowOff>38099</xdr:rowOff>
    </xdr:to>
    <xdr:graphicFrame macro="">
      <xdr:nvGraphicFramePr>
        <xdr:cNvPr id="5" name="Chart 4">
          <a:extLst>
            <a:ext uri="{FF2B5EF4-FFF2-40B4-BE49-F238E27FC236}">
              <a16:creationId xmlns:a16="http://schemas.microsoft.com/office/drawing/2014/main" id="{680D5E9D-1A12-4CF9-AFB0-9039765A3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21851</xdr:colOff>
      <xdr:row>12</xdr:row>
      <xdr:rowOff>174812</xdr:rowOff>
    </xdr:from>
    <xdr:to>
      <xdr:col>6</xdr:col>
      <xdr:colOff>276225</xdr:colOff>
      <xdr:row>25</xdr:row>
      <xdr:rowOff>31937</xdr:rowOff>
    </xdr:to>
    <xdr:graphicFrame macro="">
      <xdr:nvGraphicFramePr>
        <xdr:cNvPr id="6" name="Chart 5">
          <a:extLst>
            <a:ext uri="{FF2B5EF4-FFF2-40B4-BE49-F238E27FC236}">
              <a16:creationId xmlns:a16="http://schemas.microsoft.com/office/drawing/2014/main" id="{9641FC23-A560-4E91-B8E5-E33698164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144556</xdr:colOff>
      <xdr:row>12</xdr:row>
      <xdr:rowOff>180973</xdr:rowOff>
    </xdr:from>
    <xdr:to>
      <xdr:col>15</xdr:col>
      <xdr:colOff>373157</xdr:colOff>
      <xdr:row>25</xdr:row>
      <xdr:rowOff>38100</xdr:rowOff>
    </xdr:to>
    <xdr:graphicFrame macro="">
      <xdr:nvGraphicFramePr>
        <xdr:cNvPr id="7" name="Chart 6">
          <a:extLst>
            <a:ext uri="{FF2B5EF4-FFF2-40B4-BE49-F238E27FC236}">
              <a16:creationId xmlns:a16="http://schemas.microsoft.com/office/drawing/2014/main" id="{73EB8AEF-FDE6-484D-937A-17E3F265C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389301</xdr:colOff>
      <xdr:row>17</xdr:row>
      <xdr:rowOff>62041</xdr:rowOff>
    </xdr:from>
    <xdr:to>
      <xdr:col>18</xdr:col>
      <xdr:colOff>95251</xdr:colOff>
      <xdr:row>25</xdr:row>
      <xdr:rowOff>38100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4B7DDE24-3661-4FB1-B6FA-B3F46287A3B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533301" y="3491041"/>
              <a:ext cx="1534750" cy="1500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238125</xdr:colOff>
      <xdr:row>0</xdr:row>
      <xdr:rowOff>371475</xdr:rowOff>
    </xdr:from>
    <xdr:to>
      <xdr:col>15</xdr:col>
      <xdr:colOff>371475</xdr:colOff>
      <xdr:row>13</xdr:row>
      <xdr:rowOff>19050</xdr:rowOff>
    </xdr:to>
    <xdr:graphicFrame macro="">
      <xdr:nvGraphicFramePr>
        <xdr:cNvPr id="9" name="Chart 8">
          <a:extLst>
            <a:ext uri="{FF2B5EF4-FFF2-40B4-BE49-F238E27FC236}">
              <a16:creationId xmlns:a16="http://schemas.microsoft.com/office/drawing/2014/main" id="{8633DDD3-4FF8-4181-A1C7-7883E271C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251012</xdr:colOff>
      <xdr:row>17</xdr:row>
      <xdr:rowOff>66674</xdr:rowOff>
    </xdr:from>
    <xdr:to>
      <xdr:col>20</xdr:col>
      <xdr:colOff>600075</xdr:colOff>
      <xdr:row>25</xdr:row>
      <xdr:rowOff>47625</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2D518768-BFC4-4C17-A87A-421F409FDEE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223812" y="3495674"/>
              <a:ext cx="1568263" cy="1504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267821</xdr:colOff>
      <xdr:row>1</xdr:row>
      <xdr:rowOff>3362</xdr:rowOff>
    </xdr:from>
    <xdr:to>
      <xdr:col>20</xdr:col>
      <xdr:colOff>590551</xdr:colOff>
      <xdr:row>17</xdr:row>
      <xdr:rowOff>19050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5EFC993D-B80A-4853-A700-44F94AFFDC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40621" y="384362"/>
              <a:ext cx="1541930" cy="3063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365472</xdr:colOff>
      <xdr:row>1</xdr:row>
      <xdr:rowOff>12326</xdr:rowOff>
    </xdr:from>
    <xdr:to>
      <xdr:col>18</xdr:col>
      <xdr:colOff>104775</xdr:colOff>
      <xdr:row>17</xdr:row>
      <xdr:rowOff>50426</xdr:rowOff>
    </xdr:to>
    <mc:AlternateContent xmlns:mc="http://schemas.openxmlformats.org/markup-compatibility/2006">
      <mc:Choice xmlns:a14="http://schemas.microsoft.com/office/drawing/2010/main" Requires="a14">
        <xdr:graphicFrame macro="">
          <xdr:nvGraphicFramePr>
            <xdr:cNvPr id="13" name="Customer Location 1">
              <a:extLst>
                <a:ext uri="{FF2B5EF4-FFF2-40B4-BE49-F238E27FC236}">
                  <a16:creationId xmlns:a16="http://schemas.microsoft.com/office/drawing/2014/main" id="{75EE298D-F0F5-4E15-8720-16677A587922}"/>
                </a:ext>
              </a:extLst>
            </xdr:cNvPr>
            <xdr:cNvGraphicFramePr/>
          </xdr:nvGraphicFramePr>
          <xdr:xfrm>
            <a:off x="0" y="0"/>
            <a:ext cx="0" cy="0"/>
          </xdr:xfrm>
          <a:graphic>
            <a:graphicData uri="http://schemas.microsoft.com/office/drawing/2010/slicer">
              <sle:slicer xmlns:sle="http://schemas.microsoft.com/office/drawing/2010/slicer" name="Customer Location 1"/>
            </a:graphicData>
          </a:graphic>
        </xdr:graphicFrame>
      </mc:Choice>
      <mc:Fallback>
        <xdr:sp macro="" textlink="">
          <xdr:nvSpPr>
            <xdr:cNvPr id="0" name=""/>
            <xdr:cNvSpPr>
              <a:spLocks noTextEdit="1"/>
            </xdr:cNvSpPr>
          </xdr:nvSpPr>
          <xdr:spPr>
            <a:xfrm>
              <a:off x="9509472" y="393326"/>
              <a:ext cx="1568103"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6.537562500002" createdVersion="8" refreshedVersion="8" minRefreshableVersion="3" recordCount="250" xr:uid="{6BF371F3-44E1-4B9A-8581-54EDF715FD87}">
  <cacheSource type="worksheet">
    <worksheetSource ref="A1:L251" sheet="amazon_sales_data 2025 (1)"/>
  </cacheSource>
  <cacheFields count="12">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65">
      <sharedItems containsSemiMixedTypes="0" containsNonDate="0" containsDate="1" containsString="0" minDate="2025-02-02T00:00:00" maxDate="2025-04-03T00:00:00"/>
    </cacheField>
    <cacheField name="Product" numFmtId="49">
      <sharedItems count="10">
        <s v="Running Shoes"/>
        <s v="Headphones"/>
        <s v="Smartwatch"/>
        <s v="T-Shirt"/>
        <s v="Smartphone"/>
        <s v="Book"/>
        <s v="Jeans"/>
        <s v="Laptop"/>
        <s v="Washing Machine"/>
        <s v="Refrigerator"/>
      </sharedItems>
    </cacheField>
    <cacheField name="Category" numFmtId="49">
      <sharedItems count="5">
        <s v="Footwear"/>
        <s v="Electronics"/>
        <s v="Clothing"/>
        <s v="Books"/>
        <s v="Home Appliances"/>
      </sharedItems>
    </cacheField>
    <cacheField name="Price" numFmtId="1">
      <sharedItems containsSemiMixedTypes="0" containsString="0" containsNumber="1" containsInteger="1" minValue="15" maxValue="1200"/>
    </cacheField>
    <cacheField name="Quantity" numFmtId="1">
      <sharedItems containsSemiMixedTypes="0" containsString="0" containsNumber="1" containsInteger="1" minValue="1" maxValue="5"/>
    </cacheField>
    <cacheField name="Total Sales" numFmtId="1">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49">
      <sharedItems count="10">
        <s v="New York"/>
        <s v="San Francisco"/>
        <s v="Denver"/>
        <s v="Dallas"/>
        <s v="Houston"/>
        <s v="Miami"/>
        <s v="Boston"/>
        <s v="Seattle"/>
        <s v="Los Angeles"/>
        <s v="Chicago"/>
      </sharedItems>
    </cacheField>
    <cacheField name="Payment Method" numFmtId="49">
      <sharedItems count="5">
        <s v="Debit Card"/>
        <s v="Amazon Pay"/>
        <s v="Credit Card"/>
        <s v="PayPal"/>
        <s v="Gift Card"/>
      </sharedItems>
    </cacheField>
    <cacheField name="Status" numFmtId="49">
      <sharedItems count="3">
        <s v="Cancelled"/>
        <s v="Pending"/>
        <s v="Completed"/>
      </sharedItems>
    </cacheField>
    <cacheField name="Month" numFmtId="0">
      <sharedItems count="3">
        <s v="Mar"/>
        <s v="Feb"/>
        <s v="Apr"/>
      </sharedItems>
    </cacheField>
  </cacheFields>
  <extLst>
    <ext xmlns:x14="http://schemas.microsoft.com/office/spreadsheetml/2009/9/main" uri="{725AE2AE-9491-48be-B2B4-4EB974FC3084}">
      <x14:pivotCacheDefinition pivotCacheId="1983184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d v="2025-03-14T00:00:00"/>
    <x v="0"/>
    <x v="0"/>
    <n v="60"/>
    <n v="3"/>
    <n v="180"/>
    <x v="0"/>
    <x v="0"/>
    <x v="0"/>
    <x v="0"/>
    <x v="0"/>
  </r>
  <r>
    <x v="1"/>
    <d v="2025-03-20T00:00:00"/>
    <x v="1"/>
    <x v="1"/>
    <n v="100"/>
    <n v="4"/>
    <n v="400"/>
    <x v="1"/>
    <x v="1"/>
    <x v="0"/>
    <x v="1"/>
    <x v="0"/>
  </r>
  <r>
    <x v="2"/>
    <d v="2025-02-15T00:00:00"/>
    <x v="0"/>
    <x v="0"/>
    <n v="60"/>
    <n v="2"/>
    <n v="120"/>
    <x v="2"/>
    <x v="2"/>
    <x v="1"/>
    <x v="0"/>
    <x v="1"/>
  </r>
  <r>
    <x v="3"/>
    <d v="2025-02-19T00:00:00"/>
    <x v="0"/>
    <x v="0"/>
    <n v="60"/>
    <n v="3"/>
    <n v="180"/>
    <x v="3"/>
    <x v="3"/>
    <x v="2"/>
    <x v="1"/>
    <x v="1"/>
  </r>
  <r>
    <x v="4"/>
    <d v="2025-03-10T00:00:00"/>
    <x v="2"/>
    <x v="1"/>
    <n v="150"/>
    <n v="3"/>
    <n v="450"/>
    <x v="0"/>
    <x v="0"/>
    <x v="0"/>
    <x v="1"/>
    <x v="0"/>
  </r>
  <r>
    <x v="5"/>
    <d v="2025-03-14T00:00:00"/>
    <x v="3"/>
    <x v="2"/>
    <n v="20"/>
    <n v="1"/>
    <n v="20"/>
    <x v="2"/>
    <x v="3"/>
    <x v="2"/>
    <x v="1"/>
    <x v="0"/>
  </r>
  <r>
    <x v="6"/>
    <d v="2025-03-18T00:00:00"/>
    <x v="2"/>
    <x v="1"/>
    <n v="150"/>
    <n v="4"/>
    <n v="600"/>
    <x v="0"/>
    <x v="4"/>
    <x v="3"/>
    <x v="2"/>
    <x v="0"/>
  </r>
  <r>
    <x v="7"/>
    <d v="2025-03-02T00:00:00"/>
    <x v="4"/>
    <x v="1"/>
    <n v="500"/>
    <n v="1"/>
    <n v="500"/>
    <x v="4"/>
    <x v="5"/>
    <x v="3"/>
    <x v="2"/>
    <x v="0"/>
  </r>
  <r>
    <x v="8"/>
    <d v="2025-03-08T00:00:00"/>
    <x v="3"/>
    <x v="2"/>
    <n v="20"/>
    <n v="3"/>
    <n v="60"/>
    <x v="4"/>
    <x v="6"/>
    <x v="3"/>
    <x v="2"/>
    <x v="0"/>
  </r>
  <r>
    <x v="9"/>
    <d v="2025-03-12T00:00:00"/>
    <x v="4"/>
    <x v="1"/>
    <n v="500"/>
    <n v="1"/>
    <n v="500"/>
    <x v="1"/>
    <x v="1"/>
    <x v="2"/>
    <x v="0"/>
    <x v="0"/>
  </r>
  <r>
    <x v="10"/>
    <d v="2025-02-17T00:00:00"/>
    <x v="5"/>
    <x v="3"/>
    <n v="15"/>
    <n v="2"/>
    <n v="30"/>
    <x v="5"/>
    <x v="6"/>
    <x v="1"/>
    <x v="1"/>
    <x v="1"/>
  </r>
  <r>
    <x v="11"/>
    <d v="2025-03-13T00:00:00"/>
    <x v="6"/>
    <x v="2"/>
    <n v="40"/>
    <n v="4"/>
    <n v="160"/>
    <x v="6"/>
    <x v="3"/>
    <x v="2"/>
    <x v="2"/>
    <x v="0"/>
  </r>
  <r>
    <x v="12"/>
    <d v="2025-03-01T00:00:00"/>
    <x v="7"/>
    <x v="1"/>
    <n v="800"/>
    <n v="2"/>
    <n v="1600"/>
    <x v="7"/>
    <x v="1"/>
    <x v="4"/>
    <x v="1"/>
    <x v="0"/>
  </r>
  <r>
    <x v="13"/>
    <d v="2025-03-04T00:00:00"/>
    <x v="8"/>
    <x v="4"/>
    <n v="600"/>
    <n v="3"/>
    <n v="1800"/>
    <x v="6"/>
    <x v="5"/>
    <x v="2"/>
    <x v="0"/>
    <x v="0"/>
  </r>
  <r>
    <x v="14"/>
    <d v="2025-02-20T00:00:00"/>
    <x v="2"/>
    <x v="1"/>
    <n v="150"/>
    <n v="4"/>
    <n v="600"/>
    <x v="2"/>
    <x v="7"/>
    <x v="2"/>
    <x v="2"/>
    <x v="1"/>
  </r>
  <r>
    <x v="15"/>
    <d v="2025-02-26T00:00:00"/>
    <x v="9"/>
    <x v="4"/>
    <n v="1200"/>
    <n v="1"/>
    <n v="1200"/>
    <x v="2"/>
    <x v="6"/>
    <x v="2"/>
    <x v="0"/>
    <x v="1"/>
  </r>
  <r>
    <x v="16"/>
    <d v="2025-04-01T00:00:00"/>
    <x v="3"/>
    <x v="2"/>
    <n v="20"/>
    <n v="1"/>
    <n v="20"/>
    <x v="0"/>
    <x v="0"/>
    <x v="1"/>
    <x v="2"/>
    <x v="2"/>
  </r>
  <r>
    <x v="17"/>
    <d v="2025-02-10T00:00:00"/>
    <x v="4"/>
    <x v="1"/>
    <n v="500"/>
    <n v="2"/>
    <n v="1000"/>
    <x v="6"/>
    <x v="8"/>
    <x v="1"/>
    <x v="2"/>
    <x v="1"/>
  </r>
  <r>
    <x v="18"/>
    <d v="2025-03-22T00:00:00"/>
    <x v="0"/>
    <x v="0"/>
    <n v="60"/>
    <n v="3"/>
    <n v="180"/>
    <x v="3"/>
    <x v="4"/>
    <x v="2"/>
    <x v="2"/>
    <x v="0"/>
  </r>
  <r>
    <x v="19"/>
    <d v="2025-03-07T00:00:00"/>
    <x v="1"/>
    <x v="1"/>
    <n v="100"/>
    <n v="4"/>
    <n v="400"/>
    <x v="3"/>
    <x v="7"/>
    <x v="0"/>
    <x v="1"/>
    <x v="0"/>
  </r>
  <r>
    <x v="20"/>
    <d v="2025-02-05T00:00:00"/>
    <x v="1"/>
    <x v="1"/>
    <n v="100"/>
    <n v="3"/>
    <n v="300"/>
    <x v="8"/>
    <x v="5"/>
    <x v="0"/>
    <x v="0"/>
    <x v="1"/>
  </r>
  <r>
    <x v="21"/>
    <d v="2025-03-07T00:00:00"/>
    <x v="9"/>
    <x v="4"/>
    <n v="1200"/>
    <n v="4"/>
    <n v="4800"/>
    <x v="3"/>
    <x v="4"/>
    <x v="2"/>
    <x v="1"/>
    <x v="0"/>
  </r>
  <r>
    <x v="22"/>
    <d v="2025-02-23T00:00:00"/>
    <x v="5"/>
    <x v="3"/>
    <n v="15"/>
    <n v="1"/>
    <n v="15"/>
    <x v="0"/>
    <x v="4"/>
    <x v="2"/>
    <x v="1"/>
    <x v="1"/>
  </r>
  <r>
    <x v="23"/>
    <d v="2025-03-24T00:00:00"/>
    <x v="9"/>
    <x v="4"/>
    <n v="1200"/>
    <n v="3"/>
    <n v="3600"/>
    <x v="8"/>
    <x v="3"/>
    <x v="2"/>
    <x v="0"/>
    <x v="0"/>
  </r>
  <r>
    <x v="24"/>
    <d v="2025-03-02T00:00:00"/>
    <x v="5"/>
    <x v="3"/>
    <n v="15"/>
    <n v="5"/>
    <n v="75"/>
    <x v="4"/>
    <x v="7"/>
    <x v="1"/>
    <x v="2"/>
    <x v="0"/>
  </r>
  <r>
    <x v="25"/>
    <d v="2025-02-14T00:00:00"/>
    <x v="8"/>
    <x v="4"/>
    <n v="600"/>
    <n v="1"/>
    <n v="600"/>
    <x v="3"/>
    <x v="6"/>
    <x v="0"/>
    <x v="0"/>
    <x v="1"/>
  </r>
  <r>
    <x v="26"/>
    <d v="2025-02-07T00:00:00"/>
    <x v="3"/>
    <x v="2"/>
    <n v="20"/>
    <n v="1"/>
    <n v="20"/>
    <x v="7"/>
    <x v="0"/>
    <x v="1"/>
    <x v="1"/>
    <x v="1"/>
  </r>
  <r>
    <x v="27"/>
    <d v="2025-02-03T00:00:00"/>
    <x v="1"/>
    <x v="1"/>
    <n v="100"/>
    <n v="1"/>
    <n v="100"/>
    <x v="9"/>
    <x v="9"/>
    <x v="1"/>
    <x v="2"/>
    <x v="1"/>
  </r>
  <r>
    <x v="28"/>
    <d v="2025-02-12T00:00:00"/>
    <x v="4"/>
    <x v="1"/>
    <n v="500"/>
    <n v="1"/>
    <n v="500"/>
    <x v="4"/>
    <x v="2"/>
    <x v="2"/>
    <x v="0"/>
    <x v="1"/>
  </r>
  <r>
    <x v="29"/>
    <d v="2025-02-10T00:00:00"/>
    <x v="8"/>
    <x v="4"/>
    <n v="600"/>
    <n v="3"/>
    <n v="1800"/>
    <x v="1"/>
    <x v="3"/>
    <x v="4"/>
    <x v="0"/>
    <x v="1"/>
  </r>
  <r>
    <x v="30"/>
    <d v="2025-03-24T00:00:00"/>
    <x v="4"/>
    <x v="1"/>
    <n v="500"/>
    <n v="1"/>
    <n v="500"/>
    <x v="2"/>
    <x v="4"/>
    <x v="4"/>
    <x v="1"/>
    <x v="0"/>
  </r>
  <r>
    <x v="31"/>
    <d v="2025-03-10T00:00:00"/>
    <x v="4"/>
    <x v="1"/>
    <n v="500"/>
    <n v="4"/>
    <n v="2000"/>
    <x v="6"/>
    <x v="7"/>
    <x v="3"/>
    <x v="1"/>
    <x v="0"/>
  </r>
  <r>
    <x v="32"/>
    <d v="2025-02-04T00:00:00"/>
    <x v="5"/>
    <x v="3"/>
    <n v="15"/>
    <n v="1"/>
    <n v="15"/>
    <x v="3"/>
    <x v="0"/>
    <x v="0"/>
    <x v="0"/>
    <x v="1"/>
  </r>
  <r>
    <x v="33"/>
    <d v="2025-04-02T00:00:00"/>
    <x v="3"/>
    <x v="2"/>
    <n v="20"/>
    <n v="5"/>
    <n v="100"/>
    <x v="9"/>
    <x v="0"/>
    <x v="2"/>
    <x v="1"/>
    <x v="2"/>
  </r>
  <r>
    <x v="34"/>
    <d v="2025-04-02T00:00:00"/>
    <x v="7"/>
    <x v="1"/>
    <n v="800"/>
    <n v="3"/>
    <n v="2400"/>
    <x v="0"/>
    <x v="2"/>
    <x v="1"/>
    <x v="2"/>
    <x v="2"/>
  </r>
  <r>
    <x v="35"/>
    <d v="2025-02-09T00:00:00"/>
    <x v="9"/>
    <x v="4"/>
    <n v="1200"/>
    <n v="2"/>
    <n v="2400"/>
    <x v="4"/>
    <x v="6"/>
    <x v="3"/>
    <x v="0"/>
    <x v="1"/>
  </r>
  <r>
    <x v="36"/>
    <d v="2025-02-16T00:00:00"/>
    <x v="1"/>
    <x v="1"/>
    <n v="100"/>
    <n v="3"/>
    <n v="300"/>
    <x v="6"/>
    <x v="0"/>
    <x v="0"/>
    <x v="0"/>
    <x v="1"/>
  </r>
  <r>
    <x v="37"/>
    <d v="2025-03-26T00:00:00"/>
    <x v="7"/>
    <x v="1"/>
    <n v="800"/>
    <n v="3"/>
    <n v="2400"/>
    <x v="3"/>
    <x v="9"/>
    <x v="1"/>
    <x v="2"/>
    <x v="0"/>
  </r>
  <r>
    <x v="38"/>
    <d v="2025-03-02T00:00:00"/>
    <x v="7"/>
    <x v="1"/>
    <n v="800"/>
    <n v="2"/>
    <n v="1600"/>
    <x v="3"/>
    <x v="1"/>
    <x v="3"/>
    <x v="2"/>
    <x v="0"/>
  </r>
  <r>
    <x v="39"/>
    <d v="2025-03-26T00:00:00"/>
    <x v="2"/>
    <x v="1"/>
    <n v="150"/>
    <n v="1"/>
    <n v="150"/>
    <x v="1"/>
    <x v="7"/>
    <x v="4"/>
    <x v="1"/>
    <x v="0"/>
  </r>
  <r>
    <x v="40"/>
    <d v="2025-02-20T00:00:00"/>
    <x v="5"/>
    <x v="3"/>
    <n v="15"/>
    <n v="1"/>
    <n v="15"/>
    <x v="9"/>
    <x v="5"/>
    <x v="2"/>
    <x v="0"/>
    <x v="1"/>
  </r>
  <r>
    <x v="41"/>
    <d v="2025-03-17T00:00:00"/>
    <x v="1"/>
    <x v="1"/>
    <n v="100"/>
    <n v="3"/>
    <n v="300"/>
    <x v="9"/>
    <x v="9"/>
    <x v="1"/>
    <x v="0"/>
    <x v="0"/>
  </r>
  <r>
    <x v="42"/>
    <d v="2025-02-08T00:00:00"/>
    <x v="3"/>
    <x v="2"/>
    <n v="20"/>
    <n v="4"/>
    <n v="80"/>
    <x v="9"/>
    <x v="2"/>
    <x v="2"/>
    <x v="1"/>
    <x v="1"/>
  </r>
  <r>
    <x v="43"/>
    <d v="2025-03-24T00:00:00"/>
    <x v="2"/>
    <x v="1"/>
    <n v="150"/>
    <n v="1"/>
    <n v="150"/>
    <x v="8"/>
    <x v="4"/>
    <x v="0"/>
    <x v="1"/>
    <x v="0"/>
  </r>
  <r>
    <x v="44"/>
    <d v="2025-03-15T00:00:00"/>
    <x v="9"/>
    <x v="4"/>
    <n v="1200"/>
    <n v="3"/>
    <n v="3600"/>
    <x v="7"/>
    <x v="0"/>
    <x v="2"/>
    <x v="1"/>
    <x v="0"/>
  </r>
  <r>
    <x v="45"/>
    <d v="2025-03-06T00:00:00"/>
    <x v="0"/>
    <x v="0"/>
    <n v="60"/>
    <n v="2"/>
    <n v="120"/>
    <x v="5"/>
    <x v="4"/>
    <x v="0"/>
    <x v="0"/>
    <x v="0"/>
  </r>
  <r>
    <x v="46"/>
    <d v="2025-03-26T00:00:00"/>
    <x v="3"/>
    <x v="2"/>
    <n v="20"/>
    <n v="2"/>
    <n v="40"/>
    <x v="8"/>
    <x v="5"/>
    <x v="4"/>
    <x v="0"/>
    <x v="0"/>
  </r>
  <r>
    <x v="47"/>
    <d v="2025-02-11T00:00:00"/>
    <x v="3"/>
    <x v="2"/>
    <n v="20"/>
    <n v="5"/>
    <n v="100"/>
    <x v="9"/>
    <x v="2"/>
    <x v="1"/>
    <x v="2"/>
    <x v="1"/>
  </r>
  <r>
    <x v="48"/>
    <d v="2025-02-18T00:00:00"/>
    <x v="4"/>
    <x v="1"/>
    <n v="500"/>
    <n v="4"/>
    <n v="2000"/>
    <x v="0"/>
    <x v="9"/>
    <x v="0"/>
    <x v="2"/>
    <x v="1"/>
  </r>
  <r>
    <x v="49"/>
    <d v="2025-03-14T00:00:00"/>
    <x v="6"/>
    <x v="2"/>
    <n v="40"/>
    <n v="3"/>
    <n v="120"/>
    <x v="2"/>
    <x v="6"/>
    <x v="4"/>
    <x v="2"/>
    <x v="0"/>
  </r>
  <r>
    <x v="50"/>
    <d v="2025-02-19T00:00:00"/>
    <x v="5"/>
    <x v="3"/>
    <n v="15"/>
    <n v="1"/>
    <n v="15"/>
    <x v="0"/>
    <x v="4"/>
    <x v="4"/>
    <x v="0"/>
    <x v="1"/>
  </r>
  <r>
    <x v="51"/>
    <d v="2025-02-24T00:00:00"/>
    <x v="7"/>
    <x v="1"/>
    <n v="800"/>
    <n v="3"/>
    <n v="2400"/>
    <x v="2"/>
    <x v="1"/>
    <x v="2"/>
    <x v="1"/>
    <x v="1"/>
  </r>
  <r>
    <x v="52"/>
    <d v="2025-03-24T00:00:00"/>
    <x v="0"/>
    <x v="0"/>
    <n v="60"/>
    <n v="4"/>
    <n v="240"/>
    <x v="1"/>
    <x v="8"/>
    <x v="3"/>
    <x v="2"/>
    <x v="0"/>
  </r>
  <r>
    <x v="53"/>
    <d v="2025-03-15T00:00:00"/>
    <x v="2"/>
    <x v="1"/>
    <n v="150"/>
    <n v="3"/>
    <n v="450"/>
    <x v="5"/>
    <x v="6"/>
    <x v="4"/>
    <x v="1"/>
    <x v="0"/>
  </r>
  <r>
    <x v="54"/>
    <d v="2025-03-15T00:00:00"/>
    <x v="6"/>
    <x v="2"/>
    <n v="40"/>
    <n v="2"/>
    <n v="80"/>
    <x v="4"/>
    <x v="3"/>
    <x v="3"/>
    <x v="2"/>
    <x v="0"/>
  </r>
  <r>
    <x v="55"/>
    <d v="2025-03-19T00:00:00"/>
    <x v="2"/>
    <x v="1"/>
    <n v="150"/>
    <n v="2"/>
    <n v="300"/>
    <x v="0"/>
    <x v="3"/>
    <x v="2"/>
    <x v="2"/>
    <x v="0"/>
  </r>
  <r>
    <x v="56"/>
    <d v="2025-03-15T00:00:00"/>
    <x v="4"/>
    <x v="1"/>
    <n v="500"/>
    <n v="1"/>
    <n v="500"/>
    <x v="9"/>
    <x v="8"/>
    <x v="0"/>
    <x v="0"/>
    <x v="0"/>
  </r>
  <r>
    <x v="57"/>
    <d v="2025-03-13T00:00:00"/>
    <x v="4"/>
    <x v="1"/>
    <n v="500"/>
    <n v="1"/>
    <n v="500"/>
    <x v="9"/>
    <x v="9"/>
    <x v="3"/>
    <x v="0"/>
    <x v="0"/>
  </r>
  <r>
    <x v="58"/>
    <d v="2025-04-01T00:00:00"/>
    <x v="2"/>
    <x v="1"/>
    <n v="150"/>
    <n v="2"/>
    <n v="300"/>
    <x v="7"/>
    <x v="3"/>
    <x v="2"/>
    <x v="0"/>
    <x v="2"/>
  </r>
  <r>
    <x v="59"/>
    <d v="2025-03-12T00:00:00"/>
    <x v="5"/>
    <x v="3"/>
    <n v="15"/>
    <n v="5"/>
    <n v="75"/>
    <x v="9"/>
    <x v="3"/>
    <x v="2"/>
    <x v="1"/>
    <x v="0"/>
  </r>
  <r>
    <x v="60"/>
    <d v="2025-03-11T00:00:00"/>
    <x v="9"/>
    <x v="4"/>
    <n v="1200"/>
    <n v="1"/>
    <n v="1200"/>
    <x v="9"/>
    <x v="0"/>
    <x v="3"/>
    <x v="0"/>
    <x v="0"/>
  </r>
  <r>
    <x v="61"/>
    <d v="2025-02-10T00:00:00"/>
    <x v="7"/>
    <x v="1"/>
    <n v="800"/>
    <n v="5"/>
    <n v="4000"/>
    <x v="3"/>
    <x v="1"/>
    <x v="3"/>
    <x v="2"/>
    <x v="1"/>
  </r>
  <r>
    <x v="62"/>
    <d v="2025-03-30T00:00:00"/>
    <x v="4"/>
    <x v="1"/>
    <n v="500"/>
    <n v="5"/>
    <n v="2500"/>
    <x v="0"/>
    <x v="5"/>
    <x v="4"/>
    <x v="2"/>
    <x v="0"/>
  </r>
  <r>
    <x v="63"/>
    <d v="2025-02-13T00:00:00"/>
    <x v="9"/>
    <x v="4"/>
    <n v="1200"/>
    <n v="4"/>
    <n v="4800"/>
    <x v="1"/>
    <x v="2"/>
    <x v="3"/>
    <x v="1"/>
    <x v="1"/>
  </r>
  <r>
    <x v="64"/>
    <d v="2025-03-16T00:00:00"/>
    <x v="5"/>
    <x v="3"/>
    <n v="15"/>
    <n v="3"/>
    <n v="45"/>
    <x v="0"/>
    <x v="1"/>
    <x v="1"/>
    <x v="1"/>
    <x v="0"/>
  </r>
  <r>
    <x v="65"/>
    <d v="2025-03-14T00:00:00"/>
    <x v="2"/>
    <x v="1"/>
    <n v="150"/>
    <n v="2"/>
    <n v="300"/>
    <x v="6"/>
    <x v="2"/>
    <x v="3"/>
    <x v="1"/>
    <x v="0"/>
  </r>
  <r>
    <x v="66"/>
    <d v="2025-03-31T00:00:00"/>
    <x v="1"/>
    <x v="1"/>
    <n v="100"/>
    <n v="3"/>
    <n v="300"/>
    <x v="8"/>
    <x v="0"/>
    <x v="0"/>
    <x v="1"/>
    <x v="0"/>
  </r>
  <r>
    <x v="67"/>
    <d v="2025-02-23T00:00:00"/>
    <x v="1"/>
    <x v="1"/>
    <n v="100"/>
    <n v="1"/>
    <n v="100"/>
    <x v="5"/>
    <x v="4"/>
    <x v="0"/>
    <x v="0"/>
    <x v="1"/>
  </r>
  <r>
    <x v="68"/>
    <d v="2025-02-25T00:00:00"/>
    <x v="9"/>
    <x v="4"/>
    <n v="1200"/>
    <n v="4"/>
    <n v="4800"/>
    <x v="5"/>
    <x v="6"/>
    <x v="4"/>
    <x v="1"/>
    <x v="1"/>
  </r>
  <r>
    <x v="69"/>
    <d v="2025-03-10T00:00:00"/>
    <x v="5"/>
    <x v="3"/>
    <n v="15"/>
    <n v="1"/>
    <n v="15"/>
    <x v="1"/>
    <x v="6"/>
    <x v="2"/>
    <x v="2"/>
    <x v="0"/>
  </r>
  <r>
    <x v="70"/>
    <d v="2025-03-16T00:00:00"/>
    <x v="2"/>
    <x v="1"/>
    <n v="150"/>
    <n v="5"/>
    <n v="750"/>
    <x v="2"/>
    <x v="2"/>
    <x v="2"/>
    <x v="1"/>
    <x v="0"/>
  </r>
  <r>
    <x v="71"/>
    <d v="2025-03-07T00:00:00"/>
    <x v="7"/>
    <x v="1"/>
    <n v="800"/>
    <n v="3"/>
    <n v="2400"/>
    <x v="7"/>
    <x v="4"/>
    <x v="2"/>
    <x v="1"/>
    <x v="0"/>
  </r>
  <r>
    <x v="72"/>
    <d v="2025-02-20T00:00:00"/>
    <x v="4"/>
    <x v="1"/>
    <n v="500"/>
    <n v="5"/>
    <n v="2500"/>
    <x v="1"/>
    <x v="5"/>
    <x v="2"/>
    <x v="0"/>
    <x v="1"/>
  </r>
  <r>
    <x v="73"/>
    <d v="2025-03-25T00:00:00"/>
    <x v="9"/>
    <x v="4"/>
    <n v="1200"/>
    <n v="4"/>
    <n v="4800"/>
    <x v="9"/>
    <x v="3"/>
    <x v="4"/>
    <x v="0"/>
    <x v="0"/>
  </r>
  <r>
    <x v="74"/>
    <d v="2025-02-26T00:00:00"/>
    <x v="1"/>
    <x v="1"/>
    <n v="100"/>
    <n v="2"/>
    <n v="200"/>
    <x v="7"/>
    <x v="6"/>
    <x v="3"/>
    <x v="1"/>
    <x v="1"/>
  </r>
  <r>
    <x v="75"/>
    <d v="2025-02-24T00:00:00"/>
    <x v="8"/>
    <x v="4"/>
    <n v="600"/>
    <n v="1"/>
    <n v="600"/>
    <x v="9"/>
    <x v="3"/>
    <x v="1"/>
    <x v="2"/>
    <x v="1"/>
  </r>
  <r>
    <x v="76"/>
    <d v="2025-03-20T00:00:00"/>
    <x v="1"/>
    <x v="1"/>
    <n v="100"/>
    <n v="2"/>
    <n v="200"/>
    <x v="7"/>
    <x v="4"/>
    <x v="2"/>
    <x v="2"/>
    <x v="0"/>
  </r>
  <r>
    <x v="77"/>
    <d v="2025-03-18T00:00:00"/>
    <x v="2"/>
    <x v="1"/>
    <n v="150"/>
    <n v="2"/>
    <n v="300"/>
    <x v="0"/>
    <x v="8"/>
    <x v="4"/>
    <x v="0"/>
    <x v="0"/>
  </r>
  <r>
    <x v="78"/>
    <d v="2025-03-09T00:00:00"/>
    <x v="0"/>
    <x v="0"/>
    <n v="60"/>
    <n v="2"/>
    <n v="120"/>
    <x v="1"/>
    <x v="2"/>
    <x v="4"/>
    <x v="0"/>
    <x v="0"/>
  </r>
  <r>
    <x v="79"/>
    <d v="2025-02-23T00:00:00"/>
    <x v="0"/>
    <x v="0"/>
    <n v="60"/>
    <n v="4"/>
    <n v="240"/>
    <x v="4"/>
    <x v="1"/>
    <x v="0"/>
    <x v="1"/>
    <x v="1"/>
  </r>
  <r>
    <x v="80"/>
    <d v="2025-02-26T00:00:00"/>
    <x v="1"/>
    <x v="1"/>
    <n v="100"/>
    <n v="3"/>
    <n v="300"/>
    <x v="6"/>
    <x v="9"/>
    <x v="3"/>
    <x v="0"/>
    <x v="1"/>
  </r>
  <r>
    <x v="81"/>
    <d v="2025-02-24T00:00:00"/>
    <x v="4"/>
    <x v="1"/>
    <n v="500"/>
    <n v="3"/>
    <n v="1500"/>
    <x v="9"/>
    <x v="7"/>
    <x v="0"/>
    <x v="0"/>
    <x v="1"/>
  </r>
  <r>
    <x v="82"/>
    <d v="2025-02-28T00:00:00"/>
    <x v="8"/>
    <x v="4"/>
    <n v="600"/>
    <n v="4"/>
    <n v="2400"/>
    <x v="0"/>
    <x v="4"/>
    <x v="4"/>
    <x v="0"/>
    <x v="1"/>
  </r>
  <r>
    <x v="83"/>
    <d v="2025-02-14T00:00:00"/>
    <x v="3"/>
    <x v="2"/>
    <n v="20"/>
    <n v="5"/>
    <n v="100"/>
    <x v="3"/>
    <x v="6"/>
    <x v="3"/>
    <x v="2"/>
    <x v="1"/>
  </r>
  <r>
    <x v="84"/>
    <d v="2025-02-06T00:00:00"/>
    <x v="4"/>
    <x v="1"/>
    <n v="500"/>
    <n v="5"/>
    <n v="2500"/>
    <x v="6"/>
    <x v="4"/>
    <x v="3"/>
    <x v="2"/>
    <x v="1"/>
  </r>
  <r>
    <x v="85"/>
    <d v="2025-02-25T00:00:00"/>
    <x v="2"/>
    <x v="1"/>
    <n v="150"/>
    <n v="5"/>
    <n v="750"/>
    <x v="9"/>
    <x v="3"/>
    <x v="3"/>
    <x v="0"/>
    <x v="1"/>
  </r>
  <r>
    <x v="86"/>
    <d v="2025-03-13T00:00:00"/>
    <x v="0"/>
    <x v="0"/>
    <n v="60"/>
    <n v="5"/>
    <n v="300"/>
    <x v="0"/>
    <x v="5"/>
    <x v="0"/>
    <x v="2"/>
    <x v="0"/>
  </r>
  <r>
    <x v="87"/>
    <d v="2025-02-06T00:00:00"/>
    <x v="9"/>
    <x v="4"/>
    <n v="1200"/>
    <n v="2"/>
    <n v="2400"/>
    <x v="8"/>
    <x v="7"/>
    <x v="0"/>
    <x v="1"/>
    <x v="1"/>
  </r>
  <r>
    <x v="88"/>
    <d v="2025-03-26T00:00:00"/>
    <x v="0"/>
    <x v="0"/>
    <n v="60"/>
    <n v="5"/>
    <n v="300"/>
    <x v="0"/>
    <x v="8"/>
    <x v="2"/>
    <x v="0"/>
    <x v="0"/>
  </r>
  <r>
    <x v="89"/>
    <d v="2025-03-24T00:00:00"/>
    <x v="2"/>
    <x v="1"/>
    <n v="150"/>
    <n v="5"/>
    <n v="750"/>
    <x v="1"/>
    <x v="4"/>
    <x v="1"/>
    <x v="2"/>
    <x v="0"/>
  </r>
  <r>
    <x v="90"/>
    <d v="2025-02-03T00:00:00"/>
    <x v="7"/>
    <x v="1"/>
    <n v="800"/>
    <n v="4"/>
    <n v="3200"/>
    <x v="7"/>
    <x v="4"/>
    <x v="4"/>
    <x v="1"/>
    <x v="1"/>
  </r>
  <r>
    <x v="91"/>
    <d v="2025-03-15T00:00:00"/>
    <x v="4"/>
    <x v="1"/>
    <n v="500"/>
    <n v="2"/>
    <n v="1000"/>
    <x v="3"/>
    <x v="6"/>
    <x v="3"/>
    <x v="0"/>
    <x v="0"/>
  </r>
  <r>
    <x v="92"/>
    <d v="2025-03-06T00:00:00"/>
    <x v="9"/>
    <x v="4"/>
    <n v="1200"/>
    <n v="5"/>
    <n v="6000"/>
    <x v="5"/>
    <x v="2"/>
    <x v="3"/>
    <x v="0"/>
    <x v="0"/>
  </r>
  <r>
    <x v="93"/>
    <d v="2025-03-25T00:00:00"/>
    <x v="6"/>
    <x v="2"/>
    <n v="40"/>
    <n v="5"/>
    <n v="200"/>
    <x v="7"/>
    <x v="7"/>
    <x v="2"/>
    <x v="0"/>
    <x v="0"/>
  </r>
  <r>
    <x v="94"/>
    <d v="2025-02-17T00:00:00"/>
    <x v="2"/>
    <x v="1"/>
    <n v="150"/>
    <n v="4"/>
    <n v="600"/>
    <x v="8"/>
    <x v="0"/>
    <x v="0"/>
    <x v="0"/>
    <x v="1"/>
  </r>
  <r>
    <x v="95"/>
    <d v="2025-03-30T00:00:00"/>
    <x v="2"/>
    <x v="1"/>
    <n v="150"/>
    <n v="3"/>
    <n v="450"/>
    <x v="9"/>
    <x v="0"/>
    <x v="1"/>
    <x v="2"/>
    <x v="0"/>
  </r>
  <r>
    <x v="96"/>
    <d v="2025-03-25T00:00:00"/>
    <x v="5"/>
    <x v="3"/>
    <n v="15"/>
    <n v="5"/>
    <n v="75"/>
    <x v="3"/>
    <x v="9"/>
    <x v="1"/>
    <x v="1"/>
    <x v="0"/>
  </r>
  <r>
    <x v="97"/>
    <d v="2025-02-14T00:00:00"/>
    <x v="2"/>
    <x v="1"/>
    <n v="150"/>
    <n v="2"/>
    <n v="300"/>
    <x v="8"/>
    <x v="5"/>
    <x v="3"/>
    <x v="1"/>
    <x v="1"/>
  </r>
  <r>
    <x v="98"/>
    <d v="2025-02-18T00:00:00"/>
    <x v="8"/>
    <x v="4"/>
    <n v="600"/>
    <n v="5"/>
    <n v="3000"/>
    <x v="6"/>
    <x v="7"/>
    <x v="0"/>
    <x v="2"/>
    <x v="1"/>
  </r>
  <r>
    <x v="99"/>
    <d v="2025-02-13T00:00:00"/>
    <x v="0"/>
    <x v="0"/>
    <n v="60"/>
    <n v="1"/>
    <n v="60"/>
    <x v="9"/>
    <x v="4"/>
    <x v="4"/>
    <x v="0"/>
    <x v="1"/>
  </r>
  <r>
    <x v="100"/>
    <d v="2025-02-20T00:00:00"/>
    <x v="5"/>
    <x v="3"/>
    <n v="15"/>
    <n v="5"/>
    <n v="75"/>
    <x v="2"/>
    <x v="2"/>
    <x v="3"/>
    <x v="1"/>
    <x v="1"/>
  </r>
  <r>
    <x v="101"/>
    <d v="2025-02-28T00:00:00"/>
    <x v="4"/>
    <x v="1"/>
    <n v="500"/>
    <n v="2"/>
    <n v="1000"/>
    <x v="5"/>
    <x v="6"/>
    <x v="3"/>
    <x v="1"/>
    <x v="1"/>
  </r>
  <r>
    <x v="102"/>
    <d v="2025-03-14T00:00:00"/>
    <x v="3"/>
    <x v="2"/>
    <n v="20"/>
    <n v="2"/>
    <n v="40"/>
    <x v="6"/>
    <x v="9"/>
    <x v="3"/>
    <x v="1"/>
    <x v="0"/>
  </r>
  <r>
    <x v="103"/>
    <d v="2025-02-22T00:00:00"/>
    <x v="6"/>
    <x v="2"/>
    <n v="40"/>
    <n v="5"/>
    <n v="200"/>
    <x v="9"/>
    <x v="3"/>
    <x v="0"/>
    <x v="1"/>
    <x v="1"/>
  </r>
  <r>
    <x v="104"/>
    <d v="2025-03-16T00:00:00"/>
    <x v="6"/>
    <x v="2"/>
    <n v="40"/>
    <n v="1"/>
    <n v="40"/>
    <x v="9"/>
    <x v="6"/>
    <x v="0"/>
    <x v="1"/>
    <x v="0"/>
  </r>
  <r>
    <x v="105"/>
    <d v="2025-03-15T00:00:00"/>
    <x v="3"/>
    <x v="2"/>
    <n v="20"/>
    <n v="3"/>
    <n v="60"/>
    <x v="3"/>
    <x v="9"/>
    <x v="3"/>
    <x v="1"/>
    <x v="0"/>
  </r>
  <r>
    <x v="106"/>
    <d v="2025-03-19T00:00:00"/>
    <x v="6"/>
    <x v="2"/>
    <n v="40"/>
    <n v="3"/>
    <n v="120"/>
    <x v="3"/>
    <x v="3"/>
    <x v="2"/>
    <x v="0"/>
    <x v="0"/>
  </r>
  <r>
    <x v="107"/>
    <d v="2025-03-16T00:00:00"/>
    <x v="1"/>
    <x v="1"/>
    <n v="100"/>
    <n v="2"/>
    <n v="200"/>
    <x v="7"/>
    <x v="5"/>
    <x v="3"/>
    <x v="1"/>
    <x v="0"/>
  </r>
  <r>
    <x v="108"/>
    <d v="2025-03-17T00:00:00"/>
    <x v="6"/>
    <x v="2"/>
    <n v="40"/>
    <n v="5"/>
    <n v="200"/>
    <x v="6"/>
    <x v="0"/>
    <x v="3"/>
    <x v="2"/>
    <x v="0"/>
  </r>
  <r>
    <x v="109"/>
    <d v="2025-02-18T00:00:00"/>
    <x v="4"/>
    <x v="1"/>
    <n v="500"/>
    <n v="5"/>
    <n v="2500"/>
    <x v="3"/>
    <x v="3"/>
    <x v="1"/>
    <x v="1"/>
    <x v="1"/>
  </r>
  <r>
    <x v="110"/>
    <d v="2025-03-31T00:00:00"/>
    <x v="7"/>
    <x v="1"/>
    <n v="800"/>
    <n v="4"/>
    <n v="3200"/>
    <x v="0"/>
    <x v="8"/>
    <x v="2"/>
    <x v="2"/>
    <x v="0"/>
  </r>
  <r>
    <x v="111"/>
    <d v="2025-03-06T00:00:00"/>
    <x v="8"/>
    <x v="4"/>
    <n v="600"/>
    <n v="2"/>
    <n v="1200"/>
    <x v="5"/>
    <x v="3"/>
    <x v="4"/>
    <x v="0"/>
    <x v="0"/>
  </r>
  <r>
    <x v="112"/>
    <d v="2025-03-19T00:00:00"/>
    <x v="5"/>
    <x v="3"/>
    <n v="15"/>
    <n v="5"/>
    <n v="75"/>
    <x v="5"/>
    <x v="1"/>
    <x v="0"/>
    <x v="1"/>
    <x v="0"/>
  </r>
  <r>
    <x v="113"/>
    <d v="2025-02-23T00:00:00"/>
    <x v="0"/>
    <x v="0"/>
    <n v="60"/>
    <n v="1"/>
    <n v="60"/>
    <x v="0"/>
    <x v="4"/>
    <x v="2"/>
    <x v="1"/>
    <x v="1"/>
  </r>
  <r>
    <x v="114"/>
    <d v="2025-03-21T00:00:00"/>
    <x v="0"/>
    <x v="0"/>
    <n v="60"/>
    <n v="3"/>
    <n v="180"/>
    <x v="3"/>
    <x v="5"/>
    <x v="1"/>
    <x v="2"/>
    <x v="0"/>
  </r>
  <r>
    <x v="115"/>
    <d v="2025-03-19T00:00:00"/>
    <x v="7"/>
    <x v="1"/>
    <n v="800"/>
    <n v="4"/>
    <n v="3200"/>
    <x v="0"/>
    <x v="8"/>
    <x v="1"/>
    <x v="2"/>
    <x v="0"/>
  </r>
  <r>
    <x v="116"/>
    <d v="2025-02-27T00:00:00"/>
    <x v="3"/>
    <x v="2"/>
    <n v="20"/>
    <n v="1"/>
    <n v="20"/>
    <x v="7"/>
    <x v="0"/>
    <x v="2"/>
    <x v="2"/>
    <x v="1"/>
  </r>
  <r>
    <x v="117"/>
    <d v="2025-02-10T00:00:00"/>
    <x v="1"/>
    <x v="1"/>
    <n v="100"/>
    <n v="5"/>
    <n v="500"/>
    <x v="2"/>
    <x v="4"/>
    <x v="1"/>
    <x v="2"/>
    <x v="1"/>
  </r>
  <r>
    <x v="118"/>
    <d v="2025-03-16T00:00:00"/>
    <x v="4"/>
    <x v="1"/>
    <n v="500"/>
    <n v="2"/>
    <n v="1000"/>
    <x v="8"/>
    <x v="9"/>
    <x v="3"/>
    <x v="1"/>
    <x v="0"/>
  </r>
  <r>
    <x v="119"/>
    <d v="2025-02-16T00:00:00"/>
    <x v="7"/>
    <x v="1"/>
    <n v="800"/>
    <n v="5"/>
    <n v="4000"/>
    <x v="1"/>
    <x v="2"/>
    <x v="3"/>
    <x v="2"/>
    <x v="1"/>
  </r>
  <r>
    <x v="120"/>
    <d v="2025-02-18T00:00:00"/>
    <x v="4"/>
    <x v="1"/>
    <n v="500"/>
    <n v="1"/>
    <n v="500"/>
    <x v="2"/>
    <x v="3"/>
    <x v="4"/>
    <x v="1"/>
    <x v="1"/>
  </r>
  <r>
    <x v="121"/>
    <d v="2025-03-28T00:00:00"/>
    <x v="7"/>
    <x v="1"/>
    <n v="800"/>
    <n v="3"/>
    <n v="2400"/>
    <x v="2"/>
    <x v="5"/>
    <x v="2"/>
    <x v="0"/>
    <x v="0"/>
  </r>
  <r>
    <x v="122"/>
    <d v="2025-02-23T00:00:00"/>
    <x v="5"/>
    <x v="3"/>
    <n v="15"/>
    <n v="3"/>
    <n v="45"/>
    <x v="8"/>
    <x v="6"/>
    <x v="4"/>
    <x v="0"/>
    <x v="1"/>
  </r>
  <r>
    <x v="123"/>
    <d v="2025-02-10T00:00:00"/>
    <x v="5"/>
    <x v="3"/>
    <n v="15"/>
    <n v="1"/>
    <n v="15"/>
    <x v="0"/>
    <x v="7"/>
    <x v="4"/>
    <x v="1"/>
    <x v="1"/>
  </r>
  <r>
    <x v="124"/>
    <d v="2025-02-23T00:00:00"/>
    <x v="4"/>
    <x v="1"/>
    <n v="500"/>
    <n v="1"/>
    <n v="500"/>
    <x v="1"/>
    <x v="2"/>
    <x v="1"/>
    <x v="2"/>
    <x v="1"/>
  </r>
  <r>
    <x v="125"/>
    <d v="2025-02-04T00:00:00"/>
    <x v="9"/>
    <x v="4"/>
    <n v="1200"/>
    <n v="5"/>
    <n v="6000"/>
    <x v="3"/>
    <x v="9"/>
    <x v="4"/>
    <x v="1"/>
    <x v="1"/>
  </r>
  <r>
    <x v="126"/>
    <d v="2025-02-18T00:00:00"/>
    <x v="3"/>
    <x v="2"/>
    <n v="20"/>
    <n v="3"/>
    <n v="60"/>
    <x v="0"/>
    <x v="3"/>
    <x v="0"/>
    <x v="2"/>
    <x v="1"/>
  </r>
  <r>
    <x v="127"/>
    <d v="2025-03-23T00:00:00"/>
    <x v="2"/>
    <x v="1"/>
    <n v="150"/>
    <n v="2"/>
    <n v="300"/>
    <x v="1"/>
    <x v="3"/>
    <x v="3"/>
    <x v="0"/>
    <x v="0"/>
  </r>
  <r>
    <x v="128"/>
    <d v="2025-02-26T00:00:00"/>
    <x v="6"/>
    <x v="2"/>
    <n v="40"/>
    <n v="5"/>
    <n v="200"/>
    <x v="1"/>
    <x v="0"/>
    <x v="0"/>
    <x v="1"/>
    <x v="1"/>
  </r>
  <r>
    <x v="129"/>
    <d v="2025-02-10T00:00:00"/>
    <x v="2"/>
    <x v="1"/>
    <n v="150"/>
    <n v="5"/>
    <n v="750"/>
    <x v="5"/>
    <x v="6"/>
    <x v="3"/>
    <x v="2"/>
    <x v="1"/>
  </r>
  <r>
    <x v="130"/>
    <d v="2025-02-26T00:00:00"/>
    <x v="6"/>
    <x v="2"/>
    <n v="40"/>
    <n v="2"/>
    <n v="80"/>
    <x v="7"/>
    <x v="9"/>
    <x v="2"/>
    <x v="1"/>
    <x v="1"/>
  </r>
  <r>
    <x v="131"/>
    <d v="2025-03-07T00:00:00"/>
    <x v="4"/>
    <x v="1"/>
    <n v="500"/>
    <n v="2"/>
    <n v="1000"/>
    <x v="3"/>
    <x v="9"/>
    <x v="0"/>
    <x v="1"/>
    <x v="0"/>
  </r>
  <r>
    <x v="132"/>
    <d v="2025-02-23T00:00:00"/>
    <x v="7"/>
    <x v="1"/>
    <n v="800"/>
    <n v="1"/>
    <n v="800"/>
    <x v="1"/>
    <x v="0"/>
    <x v="1"/>
    <x v="1"/>
    <x v="1"/>
  </r>
  <r>
    <x v="133"/>
    <d v="2025-02-07T00:00:00"/>
    <x v="4"/>
    <x v="1"/>
    <n v="500"/>
    <n v="5"/>
    <n v="2500"/>
    <x v="5"/>
    <x v="9"/>
    <x v="4"/>
    <x v="1"/>
    <x v="1"/>
  </r>
  <r>
    <x v="134"/>
    <d v="2025-02-10T00:00:00"/>
    <x v="3"/>
    <x v="2"/>
    <n v="20"/>
    <n v="1"/>
    <n v="20"/>
    <x v="3"/>
    <x v="5"/>
    <x v="2"/>
    <x v="1"/>
    <x v="1"/>
  </r>
  <r>
    <x v="135"/>
    <d v="2025-02-11T00:00:00"/>
    <x v="9"/>
    <x v="4"/>
    <n v="1200"/>
    <n v="2"/>
    <n v="2400"/>
    <x v="7"/>
    <x v="1"/>
    <x v="3"/>
    <x v="0"/>
    <x v="1"/>
  </r>
  <r>
    <x v="136"/>
    <d v="2025-03-20T00:00:00"/>
    <x v="2"/>
    <x v="1"/>
    <n v="150"/>
    <n v="3"/>
    <n v="450"/>
    <x v="4"/>
    <x v="1"/>
    <x v="0"/>
    <x v="2"/>
    <x v="0"/>
  </r>
  <r>
    <x v="137"/>
    <d v="2025-02-11T00:00:00"/>
    <x v="2"/>
    <x v="1"/>
    <n v="150"/>
    <n v="5"/>
    <n v="750"/>
    <x v="2"/>
    <x v="8"/>
    <x v="2"/>
    <x v="0"/>
    <x v="1"/>
  </r>
  <r>
    <x v="138"/>
    <d v="2025-03-18T00:00:00"/>
    <x v="7"/>
    <x v="1"/>
    <n v="800"/>
    <n v="2"/>
    <n v="1600"/>
    <x v="6"/>
    <x v="2"/>
    <x v="3"/>
    <x v="0"/>
    <x v="0"/>
  </r>
  <r>
    <x v="139"/>
    <d v="2025-03-19T00:00:00"/>
    <x v="2"/>
    <x v="1"/>
    <n v="150"/>
    <n v="2"/>
    <n v="300"/>
    <x v="3"/>
    <x v="5"/>
    <x v="0"/>
    <x v="2"/>
    <x v="0"/>
  </r>
  <r>
    <x v="140"/>
    <d v="2025-03-21T00:00:00"/>
    <x v="4"/>
    <x v="1"/>
    <n v="500"/>
    <n v="2"/>
    <n v="1000"/>
    <x v="2"/>
    <x v="5"/>
    <x v="3"/>
    <x v="2"/>
    <x v="0"/>
  </r>
  <r>
    <x v="141"/>
    <d v="2025-03-15T00:00:00"/>
    <x v="4"/>
    <x v="1"/>
    <n v="500"/>
    <n v="3"/>
    <n v="1500"/>
    <x v="4"/>
    <x v="5"/>
    <x v="4"/>
    <x v="2"/>
    <x v="0"/>
  </r>
  <r>
    <x v="142"/>
    <d v="2025-03-31T00:00:00"/>
    <x v="9"/>
    <x v="4"/>
    <n v="1200"/>
    <n v="2"/>
    <n v="2400"/>
    <x v="9"/>
    <x v="3"/>
    <x v="3"/>
    <x v="0"/>
    <x v="0"/>
  </r>
  <r>
    <x v="143"/>
    <d v="2025-02-27T00:00:00"/>
    <x v="6"/>
    <x v="2"/>
    <n v="40"/>
    <n v="2"/>
    <n v="80"/>
    <x v="6"/>
    <x v="8"/>
    <x v="4"/>
    <x v="0"/>
    <x v="1"/>
  </r>
  <r>
    <x v="144"/>
    <d v="2025-03-08T00:00:00"/>
    <x v="2"/>
    <x v="1"/>
    <n v="150"/>
    <n v="2"/>
    <n v="300"/>
    <x v="6"/>
    <x v="7"/>
    <x v="0"/>
    <x v="0"/>
    <x v="0"/>
  </r>
  <r>
    <x v="145"/>
    <d v="2025-03-25T00:00:00"/>
    <x v="2"/>
    <x v="1"/>
    <n v="150"/>
    <n v="2"/>
    <n v="300"/>
    <x v="0"/>
    <x v="6"/>
    <x v="0"/>
    <x v="2"/>
    <x v="0"/>
  </r>
  <r>
    <x v="146"/>
    <d v="2025-02-05T00:00:00"/>
    <x v="0"/>
    <x v="0"/>
    <n v="60"/>
    <n v="5"/>
    <n v="300"/>
    <x v="9"/>
    <x v="3"/>
    <x v="3"/>
    <x v="1"/>
    <x v="1"/>
  </r>
  <r>
    <x v="147"/>
    <d v="2025-02-06T00:00:00"/>
    <x v="1"/>
    <x v="1"/>
    <n v="100"/>
    <n v="4"/>
    <n v="400"/>
    <x v="1"/>
    <x v="8"/>
    <x v="1"/>
    <x v="0"/>
    <x v="1"/>
  </r>
  <r>
    <x v="148"/>
    <d v="2025-03-20T00:00:00"/>
    <x v="0"/>
    <x v="0"/>
    <n v="60"/>
    <n v="3"/>
    <n v="180"/>
    <x v="6"/>
    <x v="0"/>
    <x v="4"/>
    <x v="1"/>
    <x v="0"/>
  </r>
  <r>
    <x v="149"/>
    <d v="2025-02-08T00:00:00"/>
    <x v="5"/>
    <x v="3"/>
    <n v="15"/>
    <n v="4"/>
    <n v="60"/>
    <x v="7"/>
    <x v="9"/>
    <x v="4"/>
    <x v="0"/>
    <x v="1"/>
  </r>
  <r>
    <x v="150"/>
    <d v="2025-03-29T00:00:00"/>
    <x v="8"/>
    <x v="4"/>
    <n v="600"/>
    <n v="4"/>
    <n v="2400"/>
    <x v="9"/>
    <x v="8"/>
    <x v="1"/>
    <x v="1"/>
    <x v="0"/>
  </r>
  <r>
    <x v="151"/>
    <d v="2025-02-28T00:00:00"/>
    <x v="2"/>
    <x v="1"/>
    <n v="150"/>
    <n v="1"/>
    <n v="150"/>
    <x v="2"/>
    <x v="7"/>
    <x v="4"/>
    <x v="2"/>
    <x v="1"/>
  </r>
  <r>
    <x v="152"/>
    <d v="2025-02-23T00:00:00"/>
    <x v="2"/>
    <x v="1"/>
    <n v="150"/>
    <n v="5"/>
    <n v="750"/>
    <x v="4"/>
    <x v="1"/>
    <x v="3"/>
    <x v="1"/>
    <x v="1"/>
  </r>
  <r>
    <x v="153"/>
    <d v="2025-03-01T00:00:00"/>
    <x v="1"/>
    <x v="1"/>
    <n v="100"/>
    <n v="2"/>
    <n v="200"/>
    <x v="2"/>
    <x v="2"/>
    <x v="0"/>
    <x v="2"/>
    <x v="0"/>
  </r>
  <r>
    <x v="154"/>
    <d v="2025-02-05T00:00:00"/>
    <x v="9"/>
    <x v="4"/>
    <n v="1200"/>
    <n v="4"/>
    <n v="4800"/>
    <x v="4"/>
    <x v="7"/>
    <x v="2"/>
    <x v="1"/>
    <x v="1"/>
  </r>
  <r>
    <x v="155"/>
    <d v="2025-03-16T00:00:00"/>
    <x v="2"/>
    <x v="1"/>
    <n v="150"/>
    <n v="4"/>
    <n v="600"/>
    <x v="3"/>
    <x v="5"/>
    <x v="3"/>
    <x v="0"/>
    <x v="0"/>
  </r>
  <r>
    <x v="156"/>
    <d v="2025-02-08T00:00:00"/>
    <x v="4"/>
    <x v="1"/>
    <n v="500"/>
    <n v="3"/>
    <n v="1500"/>
    <x v="4"/>
    <x v="2"/>
    <x v="2"/>
    <x v="1"/>
    <x v="1"/>
  </r>
  <r>
    <x v="157"/>
    <d v="2025-02-24T00:00:00"/>
    <x v="7"/>
    <x v="1"/>
    <n v="800"/>
    <n v="3"/>
    <n v="2400"/>
    <x v="8"/>
    <x v="5"/>
    <x v="0"/>
    <x v="1"/>
    <x v="1"/>
  </r>
  <r>
    <x v="158"/>
    <d v="2025-02-16T00:00:00"/>
    <x v="3"/>
    <x v="2"/>
    <n v="20"/>
    <n v="2"/>
    <n v="40"/>
    <x v="5"/>
    <x v="3"/>
    <x v="4"/>
    <x v="0"/>
    <x v="1"/>
  </r>
  <r>
    <x v="159"/>
    <d v="2025-02-06T00:00:00"/>
    <x v="8"/>
    <x v="4"/>
    <n v="600"/>
    <n v="3"/>
    <n v="1800"/>
    <x v="3"/>
    <x v="2"/>
    <x v="4"/>
    <x v="0"/>
    <x v="1"/>
  </r>
  <r>
    <x v="160"/>
    <d v="2025-02-22T00:00:00"/>
    <x v="1"/>
    <x v="1"/>
    <n v="100"/>
    <n v="1"/>
    <n v="100"/>
    <x v="1"/>
    <x v="8"/>
    <x v="2"/>
    <x v="2"/>
    <x v="1"/>
  </r>
  <r>
    <x v="161"/>
    <d v="2025-02-09T00:00:00"/>
    <x v="4"/>
    <x v="1"/>
    <n v="500"/>
    <n v="2"/>
    <n v="1000"/>
    <x v="3"/>
    <x v="9"/>
    <x v="2"/>
    <x v="2"/>
    <x v="1"/>
  </r>
  <r>
    <x v="162"/>
    <d v="2025-02-20T00:00:00"/>
    <x v="0"/>
    <x v="0"/>
    <n v="60"/>
    <n v="2"/>
    <n v="120"/>
    <x v="8"/>
    <x v="4"/>
    <x v="3"/>
    <x v="2"/>
    <x v="1"/>
  </r>
  <r>
    <x v="163"/>
    <d v="2025-02-25T00:00:00"/>
    <x v="2"/>
    <x v="1"/>
    <n v="150"/>
    <n v="5"/>
    <n v="750"/>
    <x v="6"/>
    <x v="6"/>
    <x v="0"/>
    <x v="1"/>
    <x v="1"/>
  </r>
  <r>
    <x v="164"/>
    <d v="2025-03-14T00:00:00"/>
    <x v="5"/>
    <x v="3"/>
    <n v="15"/>
    <n v="1"/>
    <n v="15"/>
    <x v="5"/>
    <x v="0"/>
    <x v="1"/>
    <x v="1"/>
    <x v="0"/>
  </r>
  <r>
    <x v="165"/>
    <d v="2025-03-30T00:00:00"/>
    <x v="8"/>
    <x v="4"/>
    <n v="600"/>
    <n v="4"/>
    <n v="2400"/>
    <x v="8"/>
    <x v="4"/>
    <x v="2"/>
    <x v="1"/>
    <x v="0"/>
  </r>
  <r>
    <x v="166"/>
    <d v="2025-03-20T00:00:00"/>
    <x v="9"/>
    <x v="4"/>
    <n v="1200"/>
    <n v="2"/>
    <n v="2400"/>
    <x v="3"/>
    <x v="7"/>
    <x v="2"/>
    <x v="2"/>
    <x v="0"/>
  </r>
  <r>
    <x v="167"/>
    <d v="2025-03-24T00:00:00"/>
    <x v="7"/>
    <x v="1"/>
    <n v="800"/>
    <n v="5"/>
    <n v="4000"/>
    <x v="6"/>
    <x v="5"/>
    <x v="0"/>
    <x v="1"/>
    <x v="0"/>
  </r>
  <r>
    <x v="168"/>
    <d v="2025-03-06T00:00:00"/>
    <x v="9"/>
    <x v="4"/>
    <n v="1200"/>
    <n v="2"/>
    <n v="2400"/>
    <x v="2"/>
    <x v="2"/>
    <x v="3"/>
    <x v="2"/>
    <x v="0"/>
  </r>
  <r>
    <x v="169"/>
    <d v="2025-02-28T00:00:00"/>
    <x v="7"/>
    <x v="1"/>
    <n v="800"/>
    <n v="1"/>
    <n v="800"/>
    <x v="0"/>
    <x v="1"/>
    <x v="4"/>
    <x v="1"/>
    <x v="1"/>
  </r>
  <r>
    <x v="170"/>
    <d v="2025-02-28T00:00:00"/>
    <x v="2"/>
    <x v="1"/>
    <n v="150"/>
    <n v="2"/>
    <n v="300"/>
    <x v="7"/>
    <x v="4"/>
    <x v="3"/>
    <x v="2"/>
    <x v="1"/>
  </r>
  <r>
    <x v="171"/>
    <d v="2025-03-12T00:00:00"/>
    <x v="5"/>
    <x v="3"/>
    <n v="15"/>
    <n v="1"/>
    <n v="15"/>
    <x v="5"/>
    <x v="5"/>
    <x v="0"/>
    <x v="0"/>
    <x v="0"/>
  </r>
  <r>
    <x v="172"/>
    <d v="2025-02-28T00:00:00"/>
    <x v="9"/>
    <x v="4"/>
    <n v="1200"/>
    <n v="1"/>
    <n v="1200"/>
    <x v="3"/>
    <x v="7"/>
    <x v="3"/>
    <x v="2"/>
    <x v="1"/>
  </r>
  <r>
    <x v="173"/>
    <d v="2025-03-13T00:00:00"/>
    <x v="2"/>
    <x v="1"/>
    <n v="150"/>
    <n v="2"/>
    <n v="300"/>
    <x v="5"/>
    <x v="9"/>
    <x v="0"/>
    <x v="1"/>
    <x v="0"/>
  </r>
  <r>
    <x v="174"/>
    <d v="2025-03-24T00:00:00"/>
    <x v="6"/>
    <x v="2"/>
    <n v="40"/>
    <n v="5"/>
    <n v="200"/>
    <x v="5"/>
    <x v="0"/>
    <x v="0"/>
    <x v="0"/>
    <x v="0"/>
  </r>
  <r>
    <x v="175"/>
    <d v="2025-03-27T00:00:00"/>
    <x v="5"/>
    <x v="3"/>
    <n v="15"/>
    <n v="1"/>
    <n v="15"/>
    <x v="6"/>
    <x v="6"/>
    <x v="1"/>
    <x v="2"/>
    <x v="0"/>
  </r>
  <r>
    <x v="176"/>
    <d v="2025-03-14T00:00:00"/>
    <x v="5"/>
    <x v="3"/>
    <n v="15"/>
    <n v="5"/>
    <n v="75"/>
    <x v="5"/>
    <x v="1"/>
    <x v="2"/>
    <x v="1"/>
    <x v="0"/>
  </r>
  <r>
    <x v="177"/>
    <d v="2025-02-06T00:00:00"/>
    <x v="4"/>
    <x v="1"/>
    <n v="500"/>
    <n v="3"/>
    <n v="1500"/>
    <x v="1"/>
    <x v="9"/>
    <x v="3"/>
    <x v="2"/>
    <x v="1"/>
  </r>
  <r>
    <x v="178"/>
    <d v="2025-03-25T00:00:00"/>
    <x v="6"/>
    <x v="2"/>
    <n v="40"/>
    <n v="1"/>
    <n v="40"/>
    <x v="3"/>
    <x v="7"/>
    <x v="3"/>
    <x v="0"/>
    <x v="0"/>
  </r>
  <r>
    <x v="179"/>
    <d v="2025-03-04T00:00:00"/>
    <x v="9"/>
    <x v="4"/>
    <n v="1200"/>
    <n v="3"/>
    <n v="3600"/>
    <x v="5"/>
    <x v="6"/>
    <x v="4"/>
    <x v="2"/>
    <x v="0"/>
  </r>
  <r>
    <x v="180"/>
    <d v="2025-03-03T00:00:00"/>
    <x v="0"/>
    <x v="0"/>
    <n v="60"/>
    <n v="2"/>
    <n v="120"/>
    <x v="5"/>
    <x v="8"/>
    <x v="0"/>
    <x v="0"/>
    <x v="0"/>
  </r>
  <r>
    <x v="181"/>
    <d v="2025-04-02T00:00:00"/>
    <x v="3"/>
    <x v="2"/>
    <n v="20"/>
    <n v="5"/>
    <n v="100"/>
    <x v="0"/>
    <x v="2"/>
    <x v="3"/>
    <x v="2"/>
    <x v="2"/>
  </r>
  <r>
    <x v="182"/>
    <d v="2025-03-25T00:00:00"/>
    <x v="8"/>
    <x v="4"/>
    <n v="600"/>
    <n v="1"/>
    <n v="600"/>
    <x v="0"/>
    <x v="7"/>
    <x v="0"/>
    <x v="1"/>
    <x v="0"/>
  </r>
  <r>
    <x v="183"/>
    <d v="2025-02-17T00:00:00"/>
    <x v="5"/>
    <x v="3"/>
    <n v="15"/>
    <n v="5"/>
    <n v="75"/>
    <x v="7"/>
    <x v="5"/>
    <x v="0"/>
    <x v="1"/>
    <x v="1"/>
  </r>
  <r>
    <x v="184"/>
    <d v="2025-03-22T00:00:00"/>
    <x v="3"/>
    <x v="2"/>
    <n v="20"/>
    <n v="1"/>
    <n v="20"/>
    <x v="8"/>
    <x v="3"/>
    <x v="0"/>
    <x v="2"/>
    <x v="0"/>
  </r>
  <r>
    <x v="185"/>
    <d v="2025-03-02T00:00:00"/>
    <x v="8"/>
    <x v="4"/>
    <n v="600"/>
    <n v="4"/>
    <n v="2400"/>
    <x v="6"/>
    <x v="0"/>
    <x v="3"/>
    <x v="2"/>
    <x v="0"/>
  </r>
  <r>
    <x v="186"/>
    <d v="2025-03-13T00:00:00"/>
    <x v="7"/>
    <x v="1"/>
    <n v="800"/>
    <n v="3"/>
    <n v="2400"/>
    <x v="2"/>
    <x v="0"/>
    <x v="3"/>
    <x v="1"/>
    <x v="0"/>
  </r>
  <r>
    <x v="187"/>
    <d v="2025-02-14T00:00:00"/>
    <x v="5"/>
    <x v="3"/>
    <n v="15"/>
    <n v="1"/>
    <n v="15"/>
    <x v="2"/>
    <x v="6"/>
    <x v="1"/>
    <x v="2"/>
    <x v="1"/>
  </r>
  <r>
    <x v="188"/>
    <d v="2025-02-10T00:00:00"/>
    <x v="7"/>
    <x v="1"/>
    <n v="800"/>
    <n v="3"/>
    <n v="2400"/>
    <x v="9"/>
    <x v="4"/>
    <x v="1"/>
    <x v="2"/>
    <x v="1"/>
  </r>
  <r>
    <x v="189"/>
    <d v="2025-02-23T00:00:00"/>
    <x v="0"/>
    <x v="0"/>
    <n v="60"/>
    <n v="1"/>
    <n v="60"/>
    <x v="4"/>
    <x v="4"/>
    <x v="3"/>
    <x v="2"/>
    <x v="1"/>
  </r>
  <r>
    <x v="190"/>
    <d v="2025-02-28T00:00:00"/>
    <x v="6"/>
    <x v="2"/>
    <n v="40"/>
    <n v="4"/>
    <n v="160"/>
    <x v="2"/>
    <x v="7"/>
    <x v="1"/>
    <x v="1"/>
    <x v="1"/>
  </r>
  <r>
    <x v="191"/>
    <d v="2025-03-31T00:00:00"/>
    <x v="1"/>
    <x v="1"/>
    <n v="100"/>
    <n v="3"/>
    <n v="300"/>
    <x v="4"/>
    <x v="3"/>
    <x v="4"/>
    <x v="1"/>
    <x v="0"/>
  </r>
  <r>
    <x v="192"/>
    <d v="2025-03-30T00:00:00"/>
    <x v="5"/>
    <x v="3"/>
    <n v="15"/>
    <n v="5"/>
    <n v="75"/>
    <x v="5"/>
    <x v="9"/>
    <x v="1"/>
    <x v="1"/>
    <x v="0"/>
  </r>
  <r>
    <x v="193"/>
    <d v="2025-02-20T00:00:00"/>
    <x v="6"/>
    <x v="2"/>
    <n v="40"/>
    <n v="4"/>
    <n v="160"/>
    <x v="2"/>
    <x v="1"/>
    <x v="0"/>
    <x v="0"/>
    <x v="1"/>
  </r>
  <r>
    <x v="194"/>
    <d v="2025-03-10T00:00:00"/>
    <x v="4"/>
    <x v="1"/>
    <n v="500"/>
    <n v="3"/>
    <n v="1500"/>
    <x v="3"/>
    <x v="2"/>
    <x v="4"/>
    <x v="0"/>
    <x v="0"/>
  </r>
  <r>
    <x v="195"/>
    <d v="2025-03-04T00:00:00"/>
    <x v="1"/>
    <x v="1"/>
    <n v="100"/>
    <n v="5"/>
    <n v="500"/>
    <x v="7"/>
    <x v="7"/>
    <x v="0"/>
    <x v="1"/>
    <x v="0"/>
  </r>
  <r>
    <x v="196"/>
    <d v="2025-03-12T00:00:00"/>
    <x v="0"/>
    <x v="0"/>
    <n v="60"/>
    <n v="2"/>
    <n v="120"/>
    <x v="6"/>
    <x v="2"/>
    <x v="4"/>
    <x v="2"/>
    <x v="0"/>
  </r>
  <r>
    <x v="197"/>
    <d v="2025-02-20T00:00:00"/>
    <x v="7"/>
    <x v="1"/>
    <n v="800"/>
    <n v="4"/>
    <n v="3200"/>
    <x v="9"/>
    <x v="7"/>
    <x v="1"/>
    <x v="1"/>
    <x v="1"/>
  </r>
  <r>
    <x v="198"/>
    <d v="2025-02-22T00:00:00"/>
    <x v="4"/>
    <x v="1"/>
    <n v="500"/>
    <n v="3"/>
    <n v="1500"/>
    <x v="8"/>
    <x v="3"/>
    <x v="2"/>
    <x v="2"/>
    <x v="1"/>
  </r>
  <r>
    <x v="199"/>
    <d v="2025-02-10T00:00:00"/>
    <x v="5"/>
    <x v="3"/>
    <n v="15"/>
    <n v="2"/>
    <n v="30"/>
    <x v="8"/>
    <x v="8"/>
    <x v="0"/>
    <x v="2"/>
    <x v="1"/>
  </r>
  <r>
    <x v="200"/>
    <d v="2025-02-03T00:00:00"/>
    <x v="5"/>
    <x v="3"/>
    <n v="15"/>
    <n v="4"/>
    <n v="60"/>
    <x v="6"/>
    <x v="1"/>
    <x v="2"/>
    <x v="2"/>
    <x v="1"/>
  </r>
  <r>
    <x v="201"/>
    <d v="2025-02-21T00:00:00"/>
    <x v="4"/>
    <x v="1"/>
    <n v="500"/>
    <n v="2"/>
    <n v="1000"/>
    <x v="7"/>
    <x v="5"/>
    <x v="2"/>
    <x v="0"/>
    <x v="1"/>
  </r>
  <r>
    <x v="202"/>
    <d v="2025-02-21T00:00:00"/>
    <x v="9"/>
    <x v="4"/>
    <n v="1200"/>
    <n v="3"/>
    <n v="3600"/>
    <x v="2"/>
    <x v="3"/>
    <x v="0"/>
    <x v="2"/>
    <x v="1"/>
  </r>
  <r>
    <x v="203"/>
    <d v="2025-03-08T00:00:00"/>
    <x v="0"/>
    <x v="0"/>
    <n v="60"/>
    <n v="5"/>
    <n v="300"/>
    <x v="9"/>
    <x v="5"/>
    <x v="4"/>
    <x v="1"/>
    <x v="0"/>
  </r>
  <r>
    <x v="204"/>
    <d v="2025-02-27T00:00:00"/>
    <x v="1"/>
    <x v="1"/>
    <n v="100"/>
    <n v="2"/>
    <n v="200"/>
    <x v="5"/>
    <x v="4"/>
    <x v="3"/>
    <x v="2"/>
    <x v="1"/>
  </r>
  <r>
    <x v="205"/>
    <d v="2025-02-12T00:00:00"/>
    <x v="8"/>
    <x v="4"/>
    <n v="600"/>
    <n v="5"/>
    <n v="3000"/>
    <x v="0"/>
    <x v="5"/>
    <x v="1"/>
    <x v="1"/>
    <x v="1"/>
  </r>
  <r>
    <x v="206"/>
    <d v="2025-03-21T00:00:00"/>
    <x v="8"/>
    <x v="4"/>
    <n v="600"/>
    <n v="1"/>
    <n v="600"/>
    <x v="2"/>
    <x v="5"/>
    <x v="2"/>
    <x v="2"/>
    <x v="0"/>
  </r>
  <r>
    <x v="207"/>
    <d v="2025-02-02T00:00:00"/>
    <x v="9"/>
    <x v="4"/>
    <n v="1200"/>
    <n v="3"/>
    <n v="3600"/>
    <x v="2"/>
    <x v="5"/>
    <x v="3"/>
    <x v="2"/>
    <x v="1"/>
  </r>
  <r>
    <x v="208"/>
    <d v="2025-03-29T00:00:00"/>
    <x v="6"/>
    <x v="2"/>
    <n v="40"/>
    <n v="5"/>
    <n v="200"/>
    <x v="7"/>
    <x v="3"/>
    <x v="3"/>
    <x v="2"/>
    <x v="0"/>
  </r>
  <r>
    <x v="209"/>
    <d v="2025-03-23T00:00:00"/>
    <x v="7"/>
    <x v="1"/>
    <n v="800"/>
    <n v="3"/>
    <n v="2400"/>
    <x v="9"/>
    <x v="0"/>
    <x v="3"/>
    <x v="2"/>
    <x v="0"/>
  </r>
  <r>
    <x v="210"/>
    <d v="2025-03-13T00:00:00"/>
    <x v="4"/>
    <x v="1"/>
    <n v="500"/>
    <n v="1"/>
    <n v="500"/>
    <x v="5"/>
    <x v="5"/>
    <x v="4"/>
    <x v="1"/>
    <x v="0"/>
  </r>
  <r>
    <x v="211"/>
    <d v="2025-03-09T00:00:00"/>
    <x v="3"/>
    <x v="2"/>
    <n v="20"/>
    <n v="4"/>
    <n v="80"/>
    <x v="0"/>
    <x v="4"/>
    <x v="0"/>
    <x v="2"/>
    <x v="0"/>
  </r>
  <r>
    <x v="212"/>
    <d v="2025-02-06T00:00:00"/>
    <x v="7"/>
    <x v="1"/>
    <n v="800"/>
    <n v="1"/>
    <n v="800"/>
    <x v="9"/>
    <x v="8"/>
    <x v="1"/>
    <x v="0"/>
    <x v="1"/>
  </r>
  <r>
    <x v="213"/>
    <d v="2025-02-18T00:00:00"/>
    <x v="2"/>
    <x v="1"/>
    <n v="150"/>
    <n v="5"/>
    <n v="750"/>
    <x v="1"/>
    <x v="4"/>
    <x v="0"/>
    <x v="2"/>
    <x v="1"/>
  </r>
  <r>
    <x v="214"/>
    <d v="2025-03-07T00:00:00"/>
    <x v="0"/>
    <x v="0"/>
    <n v="60"/>
    <n v="1"/>
    <n v="60"/>
    <x v="0"/>
    <x v="4"/>
    <x v="3"/>
    <x v="2"/>
    <x v="0"/>
  </r>
  <r>
    <x v="215"/>
    <d v="2025-03-26T00:00:00"/>
    <x v="6"/>
    <x v="2"/>
    <n v="40"/>
    <n v="2"/>
    <n v="80"/>
    <x v="8"/>
    <x v="9"/>
    <x v="2"/>
    <x v="2"/>
    <x v="0"/>
  </r>
  <r>
    <x v="216"/>
    <d v="2025-03-19T00:00:00"/>
    <x v="0"/>
    <x v="0"/>
    <n v="60"/>
    <n v="2"/>
    <n v="120"/>
    <x v="0"/>
    <x v="6"/>
    <x v="4"/>
    <x v="1"/>
    <x v="0"/>
  </r>
  <r>
    <x v="217"/>
    <d v="2025-02-15T00:00:00"/>
    <x v="1"/>
    <x v="1"/>
    <n v="100"/>
    <n v="4"/>
    <n v="400"/>
    <x v="7"/>
    <x v="0"/>
    <x v="4"/>
    <x v="0"/>
    <x v="1"/>
  </r>
  <r>
    <x v="218"/>
    <d v="2025-02-17T00:00:00"/>
    <x v="1"/>
    <x v="1"/>
    <n v="100"/>
    <n v="3"/>
    <n v="300"/>
    <x v="5"/>
    <x v="4"/>
    <x v="3"/>
    <x v="0"/>
    <x v="1"/>
  </r>
  <r>
    <x v="219"/>
    <d v="2025-02-10T00:00:00"/>
    <x v="2"/>
    <x v="1"/>
    <n v="150"/>
    <n v="3"/>
    <n v="450"/>
    <x v="6"/>
    <x v="2"/>
    <x v="0"/>
    <x v="2"/>
    <x v="1"/>
  </r>
  <r>
    <x v="220"/>
    <d v="2025-02-28T00:00:00"/>
    <x v="8"/>
    <x v="4"/>
    <n v="600"/>
    <n v="2"/>
    <n v="1200"/>
    <x v="1"/>
    <x v="9"/>
    <x v="4"/>
    <x v="0"/>
    <x v="1"/>
  </r>
  <r>
    <x v="221"/>
    <d v="2025-02-16T00:00:00"/>
    <x v="8"/>
    <x v="4"/>
    <n v="600"/>
    <n v="2"/>
    <n v="1200"/>
    <x v="8"/>
    <x v="7"/>
    <x v="3"/>
    <x v="0"/>
    <x v="1"/>
  </r>
  <r>
    <x v="222"/>
    <d v="2025-03-24T00:00:00"/>
    <x v="6"/>
    <x v="2"/>
    <n v="40"/>
    <n v="2"/>
    <n v="80"/>
    <x v="5"/>
    <x v="2"/>
    <x v="1"/>
    <x v="0"/>
    <x v="0"/>
  </r>
  <r>
    <x v="223"/>
    <d v="2025-03-18T00:00:00"/>
    <x v="9"/>
    <x v="4"/>
    <n v="1200"/>
    <n v="1"/>
    <n v="1200"/>
    <x v="9"/>
    <x v="5"/>
    <x v="3"/>
    <x v="2"/>
    <x v="0"/>
  </r>
  <r>
    <x v="224"/>
    <d v="2025-03-11T00:00:00"/>
    <x v="6"/>
    <x v="2"/>
    <n v="40"/>
    <n v="1"/>
    <n v="40"/>
    <x v="4"/>
    <x v="0"/>
    <x v="4"/>
    <x v="0"/>
    <x v="0"/>
  </r>
  <r>
    <x v="225"/>
    <d v="2025-03-05T00:00:00"/>
    <x v="0"/>
    <x v="0"/>
    <n v="60"/>
    <n v="4"/>
    <n v="240"/>
    <x v="8"/>
    <x v="9"/>
    <x v="1"/>
    <x v="2"/>
    <x v="0"/>
  </r>
  <r>
    <x v="226"/>
    <d v="2025-04-02T00:00:00"/>
    <x v="1"/>
    <x v="1"/>
    <n v="100"/>
    <n v="5"/>
    <n v="500"/>
    <x v="0"/>
    <x v="5"/>
    <x v="1"/>
    <x v="0"/>
    <x v="2"/>
  </r>
  <r>
    <x v="227"/>
    <d v="2025-02-12T00:00:00"/>
    <x v="0"/>
    <x v="0"/>
    <n v="60"/>
    <n v="1"/>
    <n v="60"/>
    <x v="5"/>
    <x v="1"/>
    <x v="2"/>
    <x v="1"/>
    <x v="1"/>
  </r>
  <r>
    <x v="228"/>
    <d v="2025-03-21T00:00:00"/>
    <x v="0"/>
    <x v="0"/>
    <n v="60"/>
    <n v="3"/>
    <n v="180"/>
    <x v="0"/>
    <x v="1"/>
    <x v="2"/>
    <x v="1"/>
    <x v="0"/>
  </r>
  <r>
    <x v="229"/>
    <d v="2025-03-31T00:00:00"/>
    <x v="1"/>
    <x v="1"/>
    <n v="100"/>
    <n v="4"/>
    <n v="400"/>
    <x v="9"/>
    <x v="1"/>
    <x v="1"/>
    <x v="1"/>
    <x v="0"/>
  </r>
  <r>
    <x v="230"/>
    <d v="2025-02-16T00:00:00"/>
    <x v="7"/>
    <x v="1"/>
    <n v="800"/>
    <n v="5"/>
    <n v="4000"/>
    <x v="9"/>
    <x v="6"/>
    <x v="2"/>
    <x v="0"/>
    <x v="1"/>
  </r>
  <r>
    <x v="231"/>
    <d v="2025-03-14T00:00:00"/>
    <x v="9"/>
    <x v="4"/>
    <n v="1200"/>
    <n v="3"/>
    <n v="3600"/>
    <x v="0"/>
    <x v="8"/>
    <x v="2"/>
    <x v="2"/>
    <x v="0"/>
  </r>
  <r>
    <x v="232"/>
    <d v="2025-02-20T00:00:00"/>
    <x v="0"/>
    <x v="0"/>
    <n v="60"/>
    <n v="1"/>
    <n v="60"/>
    <x v="5"/>
    <x v="6"/>
    <x v="3"/>
    <x v="0"/>
    <x v="1"/>
  </r>
  <r>
    <x v="233"/>
    <d v="2025-03-08T00:00:00"/>
    <x v="5"/>
    <x v="3"/>
    <n v="15"/>
    <n v="1"/>
    <n v="15"/>
    <x v="9"/>
    <x v="5"/>
    <x v="1"/>
    <x v="0"/>
    <x v="0"/>
  </r>
  <r>
    <x v="234"/>
    <d v="2025-03-23T00:00:00"/>
    <x v="9"/>
    <x v="4"/>
    <n v="1200"/>
    <n v="1"/>
    <n v="1200"/>
    <x v="7"/>
    <x v="3"/>
    <x v="3"/>
    <x v="2"/>
    <x v="0"/>
  </r>
  <r>
    <x v="235"/>
    <d v="2025-03-05T00:00:00"/>
    <x v="4"/>
    <x v="1"/>
    <n v="500"/>
    <n v="5"/>
    <n v="2500"/>
    <x v="2"/>
    <x v="6"/>
    <x v="3"/>
    <x v="2"/>
    <x v="0"/>
  </r>
  <r>
    <x v="236"/>
    <d v="2025-02-11T00:00:00"/>
    <x v="1"/>
    <x v="1"/>
    <n v="100"/>
    <n v="3"/>
    <n v="300"/>
    <x v="6"/>
    <x v="4"/>
    <x v="0"/>
    <x v="0"/>
    <x v="1"/>
  </r>
  <r>
    <x v="237"/>
    <d v="2025-03-16T00:00:00"/>
    <x v="1"/>
    <x v="1"/>
    <n v="100"/>
    <n v="1"/>
    <n v="100"/>
    <x v="3"/>
    <x v="2"/>
    <x v="3"/>
    <x v="2"/>
    <x v="0"/>
  </r>
  <r>
    <x v="238"/>
    <d v="2025-03-22T00:00:00"/>
    <x v="2"/>
    <x v="1"/>
    <n v="150"/>
    <n v="5"/>
    <n v="750"/>
    <x v="7"/>
    <x v="4"/>
    <x v="1"/>
    <x v="2"/>
    <x v="0"/>
  </r>
  <r>
    <x v="239"/>
    <d v="2025-02-09T00:00:00"/>
    <x v="2"/>
    <x v="1"/>
    <n v="150"/>
    <n v="1"/>
    <n v="150"/>
    <x v="2"/>
    <x v="2"/>
    <x v="4"/>
    <x v="1"/>
    <x v="1"/>
  </r>
  <r>
    <x v="240"/>
    <d v="2025-03-30T00:00:00"/>
    <x v="4"/>
    <x v="1"/>
    <n v="500"/>
    <n v="4"/>
    <n v="2000"/>
    <x v="3"/>
    <x v="0"/>
    <x v="2"/>
    <x v="1"/>
    <x v="0"/>
  </r>
  <r>
    <x v="241"/>
    <d v="2025-03-08T00:00:00"/>
    <x v="4"/>
    <x v="1"/>
    <n v="500"/>
    <n v="4"/>
    <n v="2000"/>
    <x v="8"/>
    <x v="6"/>
    <x v="4"/>
    <x v="1"/>
    <x v="0"/>
  </r>
  <r>
    <x v="242"/>
    <d v="2025-03-05T00:00:00"/>
    <x v="0"/>
    <x v="0"/>
    <n v="60"/>
    <n v="2"/>
    <n v="120"/>
    <x v="8"/>
    <x v="4"/>
    <x v="1"/>
    <x v="2"/>
    <x v="0"/>
  </r>
  <r>
    <x v="243"/>
    <d v="2025-02-06T00:00:00"/>
    <x v="4"/>
    <x v="1"/>
    <n v="500"/>
    <n v="4"/>
    <n v="2000"/>
    <x v="0"/>
    <x v="4"/>
    <x v="2"/>
    <x v="2"/>
    <x v="1"/>
  </r>
  <r>
    <x v="244"/>
    <d v="2025-02-04T00:00:00"/>
    <x v="7"/>
    <x v="1"/>
    <n v="800"/>
    <n v="1"/>
    <n v="800"/>
    <x v="6"/>
    <x v="8"/>
    <x v="2"/>
    <x v="0"/>
    <x v="1"/>
  </r>
  <r>
    <x v="245"/>
    <d v="2025-03-17T00:00:00"/>
    <x v="3"/>
    <x v="2"/>
    <n v="20"/>
    <n v="2"/>
    <n v="40"/>
    <x v="7"/>
    <x v="5"/>
    <x v="0"/>
    <x v="0"/>
    <x v="0"/>
  </r>
  <r>
    <x v="246"/>
    <d v="2025-03-30T00:00:00"/>
    <x v="6"/>
    <x v="2"/>
    <n v="40"/>
    <n v="1"/>
    <n v="40"/>
    <x v="4"/>
    <x v="3"/>
    <x v="0"/>
    <x v="0"/>
    <x v="0"/>
  </r>
  <r>
    <x v="247"/>
    <d v="2025-03-05T00:00:00"/>
    <x v="3"/>
    <x v="2"/>
    <n v="20"/>
    <n v="2"/>
    <n v="40"/>
    <x v="8"/>
    <x v="2"/>
    <x v="0"/>
    <x v="0"/>
    <x v="0"/>
  </r>
  <r>
    <x v="248"/>
    <d v="2025-03-08T00:00:00"/>
    <x v="2"/>
    <x v="1"/>
    <n v="150"/>
    <n v="3"/>
    <n v="450"/>
    <x v="1"/>
    <x v="0"/>
    <x v="0"/>
    <x v="0"/>
    <x v="0"/>
  </r>
  <r>
    <x v="249"/>
    <d v="2025-02-19T00:00:00"/>
    <x v="4"/>
    <x v="1"/>
    <n v="500"/>
    <n v="4"/>
    <n v="2000"/>
    <x v="1"/>
    <x v="7"/>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BBA9F-C07D-4C66-806A-12216B3EBA88}"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4" firstHeaderRow="1" firstDataRow="1" firstDataCol="1"/>
  <pivotFields count="12">
    <pivotField showAll="0"/>
    <pivotField numFmtId="165" showAll="0"/>
    <pivotField axis="axisRow" showAll="0">
      <items count="11">
        <item x="5"/>
        <item x="1"/>
        <item x="6"/>
        <item x="7"/>
        <item x="9"/>
        <item x="0"/>
        <item x="4"/>
        <item x="2"/>
        <item x="3"/>
        <item x="8"/>
        <item t="default"/>
      </items>
    </pivotField>
    <pivotField showAll="0">
      <items count="6">
        <item x="3"/>
        <item x="2"/>
        <item x="1"/>
        <item x="0"/>
        <item x="4"/>
        <item t="default"/>
      </items>
    </pivotField>
    <pivotField numFmtId="1" showAll="0"/>
    <pivotField numFmtId="1" showAll="0"/>
    <pivotField dataField="1" numFmtId="1"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4">
        <item x="1"/>
        <item x="0"/>
        <item x="2"/>
        <item t="default"/>
      </items>
    </pivotField>
  </pivotFields>
  <rowFields count="1">
    <field x="2"/>
  </rowFields>
  <rowItems count="11">
    <i>
      <x/>
    </i>
    <i>
      <x v="1"/>
    </i>
    <i>
      <x v="2"/>
    </i>
    <i>
      <x v="3"/>
    </i>
    <i>
      <x v="4"/>
    </i>
    <i>
      <x v="5"/>
    </i>
    <i>
      <x v="6"/>
    </i>
    <i>
      <x v="7"/>
    </i>
    <i>
      <x v="8"/>
    </i>
    <i>
      <x v="9"/>
    </i>
    <i t="grand">
      <x/>
    </i>
  </rowItems>
  <colItems count="1">
    <i/>
  </colItems>
  <dataFields count="1">
    <dataField name="Sum of Total Sales" fld="6" baseField="0" baseItem="0"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0719E6-82F6-4431-849E-FA6215290357}"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4" firstHeaderRow="1" firstDataRow="1" firstDataCol="1"/>
  <pivotFields count="12">
    <pivotField showAll="0"/>
    <pivotField numFmtId="165" showAll="0"/>
    <pivotField showAll="0"/>
    <pivotField showAll="0">
      <items count="6">
        <item x="3"/>
        <item x="2"/>
        <item x="1"/>
        <item x="0"/>
        <item x="4"/>
        <item t="default"/>
      </items>
    </pivotField>
    <pivotField numFmtId="1" showAll="0"/>
    <pivotField numFmtId="1" showAll="0"/>
    <pivotField dataField="1" numFmtId="1" showAll="0"/>
    <pivotField axis="axisRow"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4">
        <item x="1"/>
        <item x="0"/>
        <item x="2"/>
        <item t="default"/>
      </items>
    </pivotField>
  </pivotFields>
  <rowFields count="1">
    <field x="7"/>
  </rowFields>
  <rowItems count="11">
    <i>
      <x/>
    </i>
    <i>
      <x v="1"/>
    </i>
    <i>
      <x v="2"/>
    </i>
    <i>
      <x v="3"/>
    </i>
    <i>
      <x v="4"/>
    </i>
    <i>
      <x v="5"/>
    </i>
    <i>
      <x v="6"/>
    </i>
    <i>
      <x v="7"/>
    </i>
    <i>
      <x v="8"/>
    </i>
    <i>
      <x v="9"/>
    </i>
    <i t="grand">
      <x/>
    </i>
  </rowItems>
  <colItems count="1">
    <i/>
  </colItems>
  <dataFields count="1">
    <dataField name="Sum of Total Sales" fld="6" baseField="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F66833-4ED1-4DFD-AAFF-DDA94587D954}"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7" firstHeaderRow="1" firstDataRow="1" firstDataCol="1"/>
  <pivotFields count="12">
    <pivotField dataField="1" showAll="0"/>
    <pivotField numFmtId="165" showAll="0"/>
    <pivotField showAll="0"/>
    <pivotField showAll="0">
      <items count="6">
        <item x="3"/>
        <item x="2"/>
        <item x="1"/>
        <item x="0"/>
        <item x="4"/>
        <item t="default"/>
      </items>
    </pivotField>
    <pivotField numFmtId="1" showAll="0"/>
    <pivotField numFmtId="1" showAll="0"/>
    <pivotField numFmtId="1" showAll="0"/>
    <pivotField showAll="0"/>
    <pivotField showAll="0">
      <items count="11">
        <item x="6"/>
        <item x="9"/>
        <item x="3"/>
        <item x="2"/>
        <item x="4"/>
        <item x="8"/>
        <item x="5"/>
        <item x="0"/>
        <item x="1"/>
        <item x="7"/>
        <item t="default"/>
      </items>
    </pivotField>
    <pivotField showAll="0"/>
    <pivotField axis="axisRow" showAll="0">
      <items count="4">
        <item x="0"/>
        <item x="2"/>
        <item x="1"/>
        <item t="default"/>
      </items>
    </pivotField>
    <pivotField showAll="0">
      <items count="4">
        <item x="1"/>
        <item x="0"/>
        <item x="2"/>
        <item t="default"/>
      </items>
    </pivotField>
  </pivotFields>
  <rowFields count="1">
    <field x="10"/>
  </rowFields>
  <rowItems count="4">
    <i>
      <x/>
    </i>
    <i>
      <x v="1"/>
    </i>
    <i>
      <x v="2"/>
    </i>
    <i t="grand">
      <x/>
    </i>
  </rowItems>
  <colItems count="1">
    <i/>
  </colItems>
  <dataFields count="1">
    <dataField name="Count of Order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F70A56-D52B-497B-8919-A29B9BF317DC}"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3:K9" firstHeaderRow="1" firstDataRow="1" firstDataCol="1"/>
  <pivotFields count="12">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65" showAll="0"/>
    <pivotField showAll="0">
      <items count="11">
        <item x="5"/>
        <item x="1"/>
        <item x="6"/>
        <item x="7"/>
        <item x="9"/>
        <item x="0"/>
        <item x="4"/>
        <item x="2"/>
        <item x="3"/>
        <item x="8"/>
        <item t="default"/>
      </items>
    </pivotField>
    <pivotField showAll="0">
      <items count="6">
        <item x="3"/>
        <item x="2"/>
        <item x="1"/>
        <item x="0"/>
        <item x="4"/>
        <item t="default"/>
      </items>
    </pivotField>
    <pivotField numFmtId="1" showAll="0"/>
    <pivotField numFmtId="1" showAll="0"/>
    <pivotField numFmtId="1" showAll="0"/>
    <pivotField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items count="4">
        <item x="0"/>
        <item x="2"/>
        <item x="1"/>
        <item t="default"/>
      </items>
    </pivotField>
    <pivotField showAll="0">
      <items count="4">
        <item x="1"/>
        <item x="0"/>
        <item x="2"/>
        <item t="default"/>
      </items>
    </pivotField>
  </pivotFields>
  <rowFields count="1">
    <field x="9"/>
  </rowFields>
  <rowItems count="6">
    <i>
      <x/>
    </i>
    <i>
      <x v="1"/>
    </i>
    <i>
      <x v="2"/>
    </i>
    <i>
      <x v="3"/>
    </i>
    <i>
      <x v="4"/>
    </i>
    <i t="grand">
      <x/>
    </i>
  </rowItems>
  <colItems count="1">
    <i/>
  </colItems>
  <dataFields count="1">
    <dataField name="Count of Order ID" fld="0" subtotal="count" baseField="0" baseItem="0"/>
  </dataFields>
  <chartFormats count="6">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9" count="1" selected="0">
            <x v="0"/>
          </reference>
        </references>
      </pivotArea>
    </chartFormat>
    <chartFormat chart="18" format="9">
      <pivotArea type="data" outline="0" fieldPosition="0">
        <references count="2">
          <reference field="4294967294" count="1" selected="0">
            <x v="0"/>
          </reference>
          <reference field="9" count="1" selected="0">
            <x v="1"/>
          </reference>
        </references>
      </pivotArea>
    </chartFormat>
    <chartFormat chart="18" format="10">
      <pivotArea type="data" outline="0" fieldPosition="0">
        <references count="2">
          <reference field="4294967294" count="1" selected="0">
            <x v="0"/>
          </reference>
          <reference field="9" count="1" selected="0">
            <x v="2"/>
          </reference>
        </references>
      </pivotArea>
    </chartFormat>
    <chartFormat chart="18" format="11">
      <pivotArea type="data" outline="0" fieldPosition="0">
        <references count="2">
          <reference field="4294967294" count="1" selected="0">
            <x v="0"/>
          </reference>
          <reference field="9" count="1" selected="0">
            <x v="3"/>
          </reference>
        </references>
      </pivotArea>
    </chartFormat>
    <chartFormat chart="18"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E9ABF3-E4AD-46AB-A043-C2BCF632DEA8}"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14" firstHeaderRow="1" firstDataRow="1" firstDataCol="1"/>
  <pivotFields count="12">
    <pivotField showAll="0"/>
    <pivotField numFmtId="165" showAll="0"/>
    <pivotField showAll="0"/>
    <pivotField showAll="0">
      <items count="6">
        <item x="3"/>
        <item x="2"/>
        <item x="1"/>
        <item x="0"/>
        <item x="4"/>
        <item t="default"/>
      </items>
    </pivotField>
    <pivotField numFmtId="1" showAll="0"/>
    <pivotField numFmtId="1" showAll="0"/>
    <pivotField dataField="1" numFmtId="1" showAll="0"/>
    <pivotField showAll="0"/>
    <pivotField axis="axisRow"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items count="4">
        <item x="1"/>
        <item x="0"/>
        <item x="2"/>
        <item t="default"/>
      </items>
    </pivotField>
  </pivotFields>
  <rowFields count="1">
    <field x="8"/>
  </rowFields>
  <rowItems count="11">
    <i>
      <x/>
    </i>
    <i>
      <x v="1"/>
    </i>
    <i>
      <x v="2"/>
    </i>
    <i>
      <x v="3"/>
    </i>
    <i>
      <x v="4"/>
    </i>
    <i>
      <x v="5"/>
    </i>
    <i>
      <x v="6"/>
    </i>
    <i>
      <x v="7"/>
    </i>
    <i>
      <x v="8"/>
    </i>
    <i>
      <x v="9"/>
    </i>
    <i t="grand">
      <x/>
    </i>
  </rowItems>
  <colItems count="1">
    <i/>
  </colItems>
  <dataFields count="1">
    <dataField name="Sum of Total Sales" fld="6" baseField="0" baseItem="0" numFmtId="1"/>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34BAB4-12F0-476A-89D6-D41F2E88EA99}"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2">
    <pivotField showAll="0"/>
    <pivotField numFmtId="165" showAll="0"/>
    <pivotField showAll="0"/>
    <pivotField axis="axisRow" showAll="0">
      <items count="6">
        <item x="3"/>
        <item x="2"/>
        <item x="1"/>
        <item x="0"/>
        <item x="4"/>
        <item t="default"/>
      </items>
    </pivotField>
    <pivotField numFmtId="1" showAll="0"/>
    <pivotField numFmtId="1" showAll="0"/>
    <pivotField dataField="1" numFmtId="1"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Sum of Total Sales" fld="6" baseField="0" baseItem="0" numFmtId="1"/>
  </dataField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9E2578-9876-43F0-93B5-3751BE727601}" sourceName="Month">
  <pivotTables>
    <pivotTable tabId="2" name="PivotTable1"/>
    <pivotTable tabId="2" name="PivotTable3"/>
    <pivotTable tabId="2" name="PivotTable4"/>
    <pivotTable tabId="2" name="PivotTable5"/>
    <pivotTable tabId="2" name="PivotTable6"/>
    <pivotTable tabId="2" name="PivotTable9"/>
  </pivotTables>
  <data>
    <tabular pivotCacheId="198318402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90982E6-B88D-42FF-A5C4-E5A5EA9C7F55}" sourceName="Status">
  <pivotTables>
    <pivotTable tabId="2" name="PivotTable1"/>
    <pivotTable tabId="2" name="PivotTable3"/>
    <pivotTable tabId="2" name="PivotTable4"/>
    <pivotTable tabId="2" name="PivotTable5"/>
    <pivotTable tabId="2" name="PivotTable6"/>
    <pivotTable tabId="2" name="PivotTable9"/>
  </pivotTables>
  <data>
    <tabular pivotCacheId="19831840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ED5867-0416-4D17-9A01-40BD811D88E0}" sourceName="Category">
  <pivotTables>
    <pivotTable tabId="2" name="PivotTable1"/>
    <pivotTable tabId="2" name="PivotTable3"/>
    <pivotTable tabId="2" name="PivotTable4"/>
    <pivotTable tabId="2" name="PivotTable5"/>
    <pivotTable tabId="2" name="PivotTable6"/>
    <pivotTable tabId="2" name="PivotTable9"/>
  </pivotTables>
  <data>
    <tabular pivotCacheId="1983184026">
      <items count="5">
        <i x="3" s="1"/>
        <i x="2"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095827C3-AAF6-4109-A40F-E3125CC6D3C8}" sourceName="Customer Location">
  <pivotTables>
    <pivotTable tabId="2" name="PivotTable1"/>
    <pivotTable tabId="2" name="PivotTable3"/>
    <pivotTable tabId="2" name="PivotTable4"/>
    <pivotTable tabId="2" name="PivotTable5"/>
    <pivotTable tabId="2" name="PivotTable6"/>
    <pivotTable tabId="2" name="PivotTable9"/>
  </pivotTables>
  <data>
    <tabular pivotCacheId="1983184026">
      <items count="10">
        <i x="6" s="1"/>
        <i x="9" s="1"/>
        <i x="3" s="1"/>
        <i x="2" s="1"/>
        <i x="4" s="1"/>
        <i x="8" s="1"/>
        <i x="5" s="1"/>
        <i x="0"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Location" xr10:uid="{987581E9-ADD4-47D7-A157-E6C1D4086ABC}" cache="Slicer_Customer_Location" caption="Customer Location"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44F776B-5127-4FB2-A948-C0624D6E1D56}" cache="Slicer_Month" caption="Month" style="SlicerStyleDark6" rowHeight="241300"/>
  <slicer name="Status" xr10:uid="{196394FF-93D4-406D-B2B4-59050BBD4004}" cache="Slicer_Status" caption="Status" style="SlicerStyleDark4" rowHeight="241300"/>
  <slicer name="Category" xr10:uid="{2B7821EE-7F89-4BE1-93D2-1872C8A3127B}" cache="Slicer_Category" caption="Category" rowHeight="241300"/>
  <slicer name="Customer Location 1" xr10:uid="{062CC0AF-F73A-4F29-8D4F-04967368F20F}" cache="Slicer_Customer_Location" caption="Customer Location"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B70B-F741-482D-9CCC-4D8970BA1CBB}">
  <dimension ref="A3:Q14"/>
  <sheetViews>
    <sheetView topLeftCell="B1" workbookViewId="0">
      <selection activeCell="N20" sqref="N20"/>
    </sheetView>
  </sheetViews>
  <sheetFormatPr defaultRowHeight="15" x14ac:dyDescent="0.25"/>
  <cols>
    <col min="1" max="1" width="16.5703125" bestFit="1" customWidth="1"/>
    <col min="2" max="2" width="17.28515625" bestFit="1" customWidth="1"/>
    <col min="4" max="4" width="16.7109375" bestFit="1" customWidth="1"/>
    <col min="5" max="5" width="17.28515625" bestFit="1" customWidth="1"/>
    <col min="7" max="7" width="13.140625" bestFit="1" customWidth="1"/>
    <col min="8" max="8" width="17.28515625" bestFit="1" customWidth="1"/>
    <col min="10" max="10" width="13.140625" bestFit="1" customWidth="1"/>
    <col min="11" max="11" width="16.5703125" bestFit="1" customWidth="1"/>
    <col min="12" max="12" width="10.85546875" bestFit="1" customWidth="1"/>
    <col min="13" max="13" width="13.140625" bestFit="1" customWidth="1"/>
    <col min="14" max="14" width="16.5703125" bestFit="1" customWidth="1"/>
    <col min="15" max="15" width="6.85546875" bestFit="1" customWidth="1"/>
    <col min="16" max="16" width="14.28515625" bestFit="1" customWidth="1"/>
    <col min="17" max="17" width="17.28515625" bestFit="1" customWidth="1"/>
    <col min="18" max="18" width="11.42578125" bestFit="1" customWidth="1"/>
    <col min="19" max="19" width="6.85546875" bestFit="1" customWidth="1"/>
    <col min="20" max="20" width="17" bestFit="1" customWidth="1"/>
    <col min="21" max="21" width="11.28515625" bestFit="1" customWidth="1"/>
  </cols>
  <sheetData>
    <row r="3" spans="1:17" x14ac:dyDescent="0.25">
      <c r="A3" s="4" t="s">
        <v>305</v>
      </c>
      <c r="B3" t="s">
        <v>307</v>
      </c>
      <c r="D3" s="4" t="s">
        <v>305</v>
      </c>
      <c r="E3" t="s">
        <v>307</v>
      </c>
      <c r="G3" s="4" t="s">
        <v>305</v>
      </c>
      <c r="H3" t="s">
        <v>307</v>
      </c>
      <c r="J3" s="4" t="s">
        <v>305</v>
      </c>
      <c r="K3" t="s">
        <v>308</v>
      </c>
      <c r="M3" s="4" t="s">
        <v>305</v>
      </c>
      <c r="N3" t="s">
        <v>308</v>
      </c>
      <c r="P3" s="4" t="s">
        <v>305</v>
      </c>
      <c r="Q3" t="s">
        <v>307</v>
      </c>
    </row>
    <row r="4" spans="1:17" x14ac:dyDescent="0.25">
      <c r="A4" s="5" t="s">
        <v>50</v>
      </c>
      <c r="B4" s="3">
        <v>1035</v>
      </c>
      <c r="D4" s="5" t="s">
        <v>49</v>
      </c>
      <c r="E4" s="3">
        <v>1035</v>
      </c>
      <c r="G4" s="5" t="s">
        <v>46</v>
      </c>
      <c r="H4" s="3">
        <v>26170</v>
      </c>
      <c r="J4" s="5" t="s">
        <v>27</v>
      </c>
      <c r="K4" s="6">
        <v>41</v>
      </c>
      <c r="M4" s="5" t="s">
        <v>17</v>
      </c>
      <c r="N4" s="6">
        <v>77</v>
      </c>
      <c r="P4" s="5" t="s">
        <v>72</v>
      </c>
      <c r="Q4" s="3">
        <v>18885</v>
      </c>
    </row>
    <row r="5" spans="1:17" x14ac:dyDescent="0.25">
      <c r="A5" s="5" t="s">
        <v>36</v>
      </c>
      <c r="B5" s="3">
        <v>3540</v>
      </c>
      <c r="D5" s="5" t="s">
        <v>19</v>
      </c>
      <c r="E5" s="3">
        <v>7300</v>
      </c>
      <c r="G5" s="5" t="s">
        <v>81</v>
      </c>
      <c r="H5" s="3">
        <v>20810</v>
      </c>
      <c r="J5" s="5" t="s">
        <v>31</v>
      </c>
      <c r="K5" s="6">
        <v>54</v>
      </c>
      <c r="M5" s="5" t="s">
        <v>40</v>
      </c>
      <c r="N5" s="6">
        <v>88</v>
      </c>
      <c r="P5" s="5" t="s">
        <v>57</v>
      </c>
      <c r="Q5" s="3">
        <v>18945</v>
      </c>
    </row>
    <row r="6" spans="1:17" x14ac:dyDescent="0.25">
      <c r="A6" s="5" t="s">
        <v>20</v>
      </c>
      <c r="B6" s="3">
        <v>129950</v>
      </c>
      <c r="D6" s="5" t="s">
        <v>53</v>
      </c>
      <c r="E6" s="3">
        <v>2480</v>
      </c>
      <c r="G6" s="5" t="s">
        <v>30</v>
      </c>
      <c r="H6" s="3">
        <v>27145</v>
      </c>
      <c r="J6" s="5" t="s">
        <v>16</v>
      </c>
      <c r="K6" s="6">
        <v>53</v>
      </c>
      <c r="M6" s="5" t="s">
        <v>23</v>
      </c>
      <c r="N6" s="6">
        <v>85</v>
      </c>
      <c r="P6" s="5" t="s">
        <v>51</v>
      </c>
      <c r="Q6" s="3">
        <v>22665</v>
      </c>
    </row>
    <row r="7" spans="1:17" x14ac:dyDescent="0.25">
      <c r="A7" s="5" t="s">
        <v>13</v>
      </c>
      <c r="B7" s="3">
        <v>4320</v>
      </c>
      <c r="D7" s="5" t="s">
        <v>56</v>
      </c>
      <c r="E7" s="3">
        <v>58400</v>
      </c>
      <c r="G7" s="5" t="s">
        <v>26</v>
      </c>
      <c r="H7" s="3">
        <v>29785</v>
      </c>
      <c r="J7" s="5" t="s">
        <v>58</v>
      </c>
      <c r="K7" s="6">
        <v>42</v>
      </c>
      <c r="M7" s="5" t="s">
        <v>306</v>
      </c>
      <c r="N7" s="6">
        <v>250</v>
      </c>
      <c r="P7" s="5" t="s">
        <v>21</v>
      </c>
      <c r="Q7" s="3">
        <v>23475</v>
      </c>
    </row>
    <row r="8" spans="1:17" x14ac:dyDescent="0.25">
      <c r="A8" s="5" t="s">
        <v>61</v>
      </c>
      <c r="B8" s="3">
        <v>105000</v>
      </c>
      <c r="D8" s="5" t="s">
        <v>65</v>
      </c>
      <c r="E8" s="3">
        <v>78000</v>
      </c>
      <c r="G8" s="5" t="s">
        <v>38</v>
      </c>
      <c r="H8" s="3">
        <v>28390</v>
      </c>
      <c r="J8" s="5" t="s">
        <v>39</v>
      </c>
      <c r="K8" s="6">
        <v>60</v>
      </c>
      <c r="P8" s="5" t="s">
        <v>14</v>
      </c>
      <c r="Q8" s="3">
        <v>29700</v>
      </c>
    </row>
    <row r="9" spans="1:17" x14ac:dyDescent="0.25">
      <c r="A9" s="5" t="s">
        <v>306</v>
      </c>
      <c r="B9" s="3">
        <v>243845</v>
      </c>
      <c r="D9" s="5" t="s">
        <v>12</v>
      </c>
      <c r="E9" s="3">
        <v>4320</v>
      </c>
      <c r="G9" s="5" t="s">
        <v>68</v>
      </c>
      <c r="H9" s="3">
        <v>17820</v>
      </c>
      <c r="J9" s="5" t="s">
        <v>306</v>
      </c>
      <c r="K9" s="6">
        <v>250</v>
      </c>
      <c r="P9" s="5" t="s">
        <v>80</v>
      </c>
      <c r="Q9" s="3">
        <v>31185</v>
      </c>
    </row>
    <row r="10" spans="1:17" x14ac:dyDescent="0.25">
      <c r="D10" s="5" t="s">
        <v>42</v>
      </c>
      <c r="E10" s="3">
        <v>48500</v>
      </c>
      <c r="G10" s="5" t="s">
        <v>44</v>
      </c>
      <c r="H10" s="3">
        <v>31700</v>
      </c>
      <c r="P10" s="5" t="s">
        <v>25</v>
      </c>
      <c r="Q10" s="3">
        <v>26870</v>
      </c>
    </row>
    <row r="11" spans="1:17" x14ac:dyDescent="0.25">
      <c r="D11" s="5" t="s">
        <v>33</v>
      </c>
      <c r="E11" s="3">
        <v>15750</v>
      </c>
      <c r="G11" s="5" t="s">
        <v>15</v>
      </c>
      <c r="H11" s="3">
        <v>18940</v>
      </c>
      <c r="P11" s="5" t="s">
        <v>54</v>
      </c>
      <c r="Q11" s="3">
        <v>22655</v>
      </c>
    </row>
    <row r="12" spans="1:17" x14ac:dyDescent="0.25">
      <c r="D12" s="5" t="s">
        <v>35</v>
      </c>
      <c r="E12" s="3">
        <v>1060</v>
      </c>
      <c r="G12" s="5" t="s">
        <v>22</v>
      </c>
      <c r="H12" s="3">
        <v>16195</v>
      </c>
      <c r="P12" s="5" t="s">
        <v>29</v>
      </c>
      <c r="Q12" s="3">
        <v>36170</v>
      </c>
    </row>
    <row r="13" spans="1:17" x14ac:dyDescent="0.25">
      <c r="D13" s="5" t="s">
        <v>60</v>
      </c>
      <c r="E13" s="3">
        <v>27000</v>
      </c>
      <c r="G13" s="5" t="s">
        <v>63</v>
      </c>
      <c r="H13" s="3">
        <v>26890</v>
      </c>
      <c r="P13" s="5" t="s">
        <v>43</v>
      </c>
      <c r="Q13" s="3">
        <v>13295</v>
      </c>
    </row>
    <row r="14" spans="1:17" x14ac:dyDescent="0.25">
      <c r="D14" s="5" t="s">
        <v>306</v>
      </c>
      <c r="E14" s="3">
        <v>243845</v>
      </c>
      <c r="G14" s="5" t="s">
        <v>306</v>
      </c>
      <c r="H14" s="3">
        <v>243845</v>
      </c>
      <c r="P14" s="5" t="s">
        <v>306</v>
      </c>
      <c r="Q14" s="3">
        <v>243845</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253D-444C-484B-80DB-7CD1AABCF5A0}">
  <sheetPr>
    <pageSetUpPr autoPageBreaks="0"/>
  </sheetPr>
  <dimension ref="A1:AC1"/>
  <sheetViews>
    <sheetView showGridLines="0" showRowColHeaders="0" tabSelected="1" zoomScaleNormal="100" workbookViewId="0">
      <selection activeCell="F1" sqref="F1"/>
    </sheetView>
  </sheetViews>
  <sheetFormatPr defaultRowHeight="15" x14ac:dyDescent="0.25"/>
  <sheetData>
    <row r="1" spans="1:29" ht="30" x14ac:dyDescent="0.45">
      <c r="A1" s="11"/>
      <c r="B1" s="11"/>
      <c r="C1" s="11"/>
      <c r="D1" s="11"/>
      <c r="E1" s="7"/>
      <c r="F1" s="12"/>
      <c r="G1" s="8"/>
      <c r="H1" s="8"/>
      <c r="I1" s="8" t="s">
        <v>309</v>
      </c>
      <c r="J1" s="8"/>
      <c r="K1" s="8"/>
      <c r="L1" s="8"/>
      <c r="M1" s="8"/>
      <c r="N1" s="11"/>
      <c r="O1" s="11"/>
      <c r="P1" s="11"/>
      <c r="Q1" s="9"/>
      <c r="R1" s="9"/>
      <c r="S1" s="11"/>
      <c r="T1" s="9"/>
      <c r="U1" s="9"/>
      <c r="V1" s="10"/>
      <c r="W1" s="10"/>
      <c r="X1" s="10"/>
      <c r="Y1" s="10"/>
      <c r="Z1" s="10"/>
      <c r="AA1" s="10"/>
      <c r="AB1" s="10"/>
      <c r="AC1" s="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4276-C1BA-4642-B28E-6F9C3BBC011E}">
  <dimension ref="A1:L251"/>
  <sheetViews>
    <sheetView zoomScaleNormal="100" workbookViewId="0">
      <selection activeCell="N247" sqref="N247"/>
    </sheetView>
  </sheetViews>
  <sheetFormatPr defaultRowHeight="15" x14ac:dyDescent="0.25"/>
  <cols>
    <col min="1" max="1" width="8.85546875" bestFit="1" customWidth="1"/>
    <col min="2" max="2" width="15.85546875" style="1" bestFit="1" customWidth="1"/>
    <col min="3" max="3" width="16.7109375" style="2" bestFit="1" customWidth="1"/>
    <col min="4" max="4" width="16.5703125" style="2" bestFit="1" customWidth="1"/>
    <col min="5" max="5" width="5.42578125" style="3" bestFit="1" customWidth="1"/>
    <col min="6" max="6" width="8.7109375" style="3" bestFit="1" customWidth="1"/>
    <col min="7" max="7" width="10.42578125" style="3" bestFit="1" customWidth="1"/>
    <col min="8" max="8" width="15.42578125" style="2" bestFit="1" customWidth="1"/>
    <col min="9" max="9" width="17.7109375" style="2" bestFit="1" customWidth="1"/>
    <col min="10" max="10" width="16.42578125" style="2" bestFit="1" customWidth="1"/>
    <col min="11" max="11" width="10.85546875" style="2" bestFit="1" customWidth="1"/>
    <col min="13" max="13" width="11.42578125" customWidth="1"/>
  </cols>
  <sheetData>
    <row r="1" spans="1:12" x14ac:dyDescent="0.25">
      <c r="A1" t="s">
        <v>0</v>
      </c>
      <c r="B1" s="1" t="s">
        <v>1</v>
      </c>
      <c r="C1" s="2" t="s">
        <v>2</v>
      </c>
      <c r="D1" s="2" t="s">
        <v>3</v>
      </c>
      <c r="E1" s="3" t="s">
        <v>4</v>
      </c>
      <c r="F1" s="3" t="s">
        <v>5</v>
      </c>
      <c r="G1" s="3" t="s">
        <v>6</v>
      </c>
      <c r="H1" s="2" t="s">
        <v>7</v>
      </c>
      <c r="I1" s="2" t="s">
        <v>8</v>
      </c>
      <c r="J1" s="2" t="s">
        <v>9</v>
      </c>
      <c r="K1" s="2" t="s">
        <v>10</v>
      </c>
      <c r="L1" s="2" t="s">
        <v>304</v>
      </c>
    </row>
    <row r="2" spans="1:12" x14ac:dyDescent="0.25">
      <c r="A2" t="s">
        <v>11</v>
      </c>
      <c r="B2" s="1">
        <v>45730</v>
      </c>
      <c r="C2" s="2" t="s">
        <v>12</v>
      </c>
      <c r="D2" s="2" t="s">
        <v>13</v>
      </c>
      <c r="E2" s="3">
        <v>60</v>
      </c>
      <c r="F2" s="3">
        <v>3</v>
      </c>
      <c r="G2" s="3">
        <v>180</v>
      </c>
      <c r="H2" s="2" t="s">
        <v>14</v>
      </c>
      <c r="I2" s="2" t="s">
        <v>15</v>
      </c>
      <c r="J2" s="2" t="s">
        <v>16</v>
      </c>
      <c r="K2" s="2" t="s">
        <v>17</v>
      </c>
      <c r="L2" t="str">
        <f>TEXT(B2,"MMM")</f>
        <v>Mar</v>
      </c>
    </row>
    <row r="3" spans="1:12" x14ac:dyDescent="0.25">
      <c r="A3" t="s">
        <v>18</v>
      </c>
      <c r="B3" s="1">
        <v>45736</v>
      </c>
      <c r="C3" s="2" t="s">
        <v>19</v>
      </c>
      <c r="D3" s="2" t="s">
        <v>20</v>
      </c>
      <c r="E3" s="3">
        <v>100</v>
      </c>
      <c r="F3" s="3">
        <v>4</v>
      </c>
      <c r="G3" s="3">
        <v>400</v>
      </c>
      <c r="H3" s="2" t="s">
        <v>21</v>
      </c>
      <c r="I3" s="2" t="s">
        <v>22</v>
      </c>
      <c r="J3" s="2" t="s">
        <v>16</v>
      </c>
      <c r="K3" s="2" t="s">
        <v>23</v>
      </c>
      <c r="L3" t="str">
        <f t="shared" ref="L3:L66" si="0">TEXT(B3,"MMM")</f>
        <v>Mar</v>
      </c>
    </row>
    <row r="4" spans="1:12" x14ac:dyDescent="0.25">
      <c r="A4" t="s">
        <v>24</v>
      </c>
      <c r="B4" s="1">
        <v>45703</v>
      </c>
      <c r="C4" s="2" t="s">
        <v>12</v>
      </c>
      <c r="D4" s="2" t="s">
        <v>13</v>
      </c>
      <c r="E4" s="3">
        <v>60</v>
      </c>
      <c r="F4" s="3">
        <v>2</v>
      </c>
      <c r="G4" s="3">
        <v>120</v>
      </c>
      <c r="H4" s="2" t="s">
        <v>25</v>
      </c>
      <c r="I4" s="2" t="s">
        <v>26</v>
      </c>
      <c r="J4" s="2" t="s">
        <v>27</v>
      </c>
      <c r="K4" s="2" t="s">
        <v>17</v>
      </c>
      <c r="L4" t="str">
        <f t="shared" si="0"/>
        <v>Feb</v>
      </c>
    </row>
    <row r="5" spans="1:12" x14ac:dyDescent="0.25">
      <c r="A5" t="s">
        <v>28</v>
      </c>
      <c r="B5" s="1">
        <v>45707</v>
      </c>
      <c r="C5" s="2" t="s">
        <v>12</v>
      </c>
      <c r="D5" s="2" t="s">
        <v>13</v>
      </c>
      <c r="E5" s="3">
        <v>60</v>
      </c>
      <c r="F5" s="3">
        <v>3</v>
      </c>
      <c r="G5" s="3">
        <v>180</v>
      </c>
      <c r="H5" s="3" t="s">
        <v>29</v>
      </c>
      <c r="I5" s="2" t="s">
        <v>30</v>
      </c>
      <c r="J5" s="2" t="s">
        <v>31</v>
      </c>
      <c r="K5" s="2" t="s">
        <v>23</v>
      </c>
      <c r="L5" t="str">
        <f t="shared" si="0"/>
        <v>Feb</v>
      </c>
    </row>
    <row r="6" spans="1:12" x14ac:dyDescent="0.25">
      <c r="A6" t="s">
        <v>32</v>
      </c>
      <c r="B6" s="1">
        <v>45726</v>
      </c>
      <c r="C6" s="2" t="s">
        <v>33</v>
      </c>
      <c r="D6" s="2" t="s">
        <v>20</v>
      </c>
      <c r="E6" s="3">
        <v>150</v>
      </c>
      <c r="F6" s="3">
        <v>3</v>
      </c>
      <c r="G6" s="3">
        <v>450</v>
      </c>
      <c r="H6" s="2" t="s">
        <v>14</v>
      </c>
      <c r="I6" s="2" t="s">
        <v>15</v>
      </c>
      <c r="J6" s="2" t="s">
        <v>16</v>
      </c>
      <c r="K6" s="2" t="s">
        <v>23</v>
      </c>
      <c r="L6" t="str">
        <f t="shared" si="0"/>
        <v>Mar</v>
      </c>
    </row>
    <row r="7" spans="1:12" x14ac:dyDescent="0.25">
      <c r="A7" t="s">
        <v>34</v>
      </c>
      <c r="B7" s="1">
        <v>45730</v>
      </c>
      <c r="C7" s="2" t="s">
        <v>35</v>
      </c>
      <c r="D7" s="2" t="s">
        <v>36</v>
      </c>
      <c r="E7" s="3">
        <v>20</v>
      </c>
      <c r="F7" s="3">
        <v>1</v>
      </c>
      <c r="G7" s="3">
        <v>20</v>
      </c>
      <c r="H7" s="2" t="s">
        <v>25</v>
      </c>
      <c r="I7" s="2" t="s">
        <v>30</v>
      </c>
      <c r="J7" s="2" t="s">
        <v>31</v>
      </c>
      <c r="K7" s="2" t="s">
        <v>23</v>
      </c>
      <c r="L7" t="str">
        <f t="shared" si="0"/>
        <v>Mar</v>
      </c>
    </row>
    <row r="8" spans="1:12" x14ac:dyDescent="0.25">
      <c r="A8" t="s">
        <v>37</v>
      </c>
      <c r="B8" s="1">
        <v>45734</v>
      </c>
      <c r="C8" s="2" t="s">
        <v>33</v>
      </c>
      <c r="D8" s="2" t="s">
        <v>20</v>
      </c>
      <c r="E8" s="3">
        <v>150</v>
      </c>
      <c r="F8" s="3">
        <v>4</v>
      </c>
      <c r="G8" s="3">
        <v>600</v>
      </c>
      <c r="H8" s="2" t="s">
        <v>14</v>
      </c>
      <c r="I8" s="2" t="s">
        <v>38</v>
      </c>
      <c r="J8" s="2" t="s">
        <v>39</v>
      </c>
      <c r="K8" s="2" t="s">
        <v>40</v>
      </c>
      <c r="L8" t="str">
        <f t="shared" si="0"/>
        <v>Mar</v>
      </c>
    </row>
    <row r="9" spans="1:12" x14ac:dyDescent="0.25">
      <c r="A9" t="s">
        <v>41</v>
      </c>
      <c r="B9" s="1">
        <v>45718</v>
      </c>
      <c r="C9" s="2" t="s">
        <v>42</v>
      </c>
      <c r="D9" s="2" t="s">
        <v>20</v>
      </c>
      <c r="E9" s="3">
        <v>500</v>
      </c>
      <c r="F9" s="3">
        <v>1</v>
      </c>
      <c r="G9" s="3">
        <v>500</v>
      </c>
      <c r="H9" s="2" t="s">
        <v>43</v>
      </c>
      <c r="I9" s="2" t="s">
        <v>44</v>
      </c>
      <c r="J9" s="2" t="s">
        <v>39</v>
      </c>
      <c r="K9" s="2" t="s">
        <v>40</v>
      </c>
      <c r="L9" t="str">
        <f t="shared" si="0"/>
        <v>Mar</v>
      </c>
    </row>
    <row r="10" spans="1:12" x14ac:dyDescent="0.25">
      <c r="A10" t="s">
        <v>45</v>
      </c>
      <c r="B10" s="1">
        <v>45724</v>
      </c>
      <c r="C10" s="2" t="s">
        <v>35</v>
      </c>
      <c r="D10" s="2" t="s">
        <v>36</v>
      </c>
      <c r="E10" s="3">
        <v>20</v>
      </c>
      <c r="F10" s="3">
        <v>3</v>
      </c>
      <c r="G10" s="3">
        <v>60</v>
      </c>
      <c r="H10" s="2" t="s">
        <v>43</v>
      </c>
      <c r="I10" s="2" t="s">
        <v>46</v>
      </c>
      <c r="J10" s="2" t="s">
        <v>39</v>
      </c>
      <c r="K10" s="2" t="s">
        <v>40</v>
      </c>
      <c r="L10" t="str">
        <f t="shared" si="0"/>
        <v>Mar</v>
      </c>
    </row>
    <row r="11" spans="1:12" x14ac:dyDescent="0.25">
      <c r="A11" t="s">
        <v>47</v>
      </c>
      <c r="B11" s="1">
        <v>45728</v>
      </c>
      <c r="C11" s="2" t="s">
        <v>42</v>
      </c>
      <c r="D11" s="2" t="s">
        <v>20</v>
      </c>
      <c r="E11" s="3">
        <v>500</v>
      </c>
      <c r="F11" s="3">
        <v>1</v>
      </c>
      <c r="G11" s="3">
        <v>500</v>
      </c>
      <c r="H11" s="2" t="s">
        <v>21</v>
      </c>
      <c r="I11" s="2" t="s">
        <v>22</v>
      </c>
      <c r="J11" s="2" t="s">
        <v>31</v>
      </c>
      <c r="K11" s="2" t="s">
        <v>17</v>
      </c>
      <c r="L11" t="str">
        <f t="shared" si="0"/>
        <v>Mar</v>
      </c>
    </row>
    <row r="12" spans="1:12" x14ac:dyDescent="0.25">
      <c r="A12" t="s">
        <v>48</v>
      </c>
      <c r="B12" s="1">
        <v>45705</v>
      </c>
      <c r="C12" s="2" t="s">
        <v>49</v>
      </c>
      <c r="D12" s="2" t="s">
        <v>50</v>
      </c>
      <c r="E12" s="3">
        <v>15</v>
      </c>
      <c r="F12" s="3">
        <v>2</v>
      </c>
      <c r="G12" s="3">
        <v>30</v>
      </c>
      <c r="H12" s="2" t="s">
        <v>51</v>
      </c>
      <c r="I12" s="2" t="s">
        <v>46</v>
      </c>
      <c r="J12" s="2" t="s">
        <v>27</v>
      </c>
      <c r="K12" s="2" t="s">
        <v>23</v>
      </c>
      <c r="L12" t="str">
        <f t="shared" si="0"/>
        <v>Feb</v>
      </c>
    </row>
    <row r="13" spans="1:12" x14ac:dyDescent="0.25">
      <c r="A13" t="s">
        <v>52</v>
      </c>
      <c r="B13" s="1">
        <v>45729</v>
      </c>
      <c r="C13" s="2" t="s">
        <v>53</v>
      </c>
      <c r="D13" s="2" t="s">
        <v>36</v>
      </c>
      <c r="E13" s="3">
        <v>40</v>
      </c>
      <c r="F13" s="3">
        <v>4</v>
      </c>
      <c r="G13" s="3">
        <v>160</v>
      </c>
      <c r="H13" s="2" t="s">
        <v>54</v>
      </c>
      <c r="I13" s="2" t="s">
        <v>30</v>
      </c>
      <c r="J13" s="2" t="s">
        <v>31</v>
      </c>
      <c r="K13" s="2" t="s">
        <v>40</v>
      </c>
      <c r="L13" t="str">
        <f t="shared" si="0"/>
        <v>Mar</v>
      </c>
    </row>
    <row r="14" spans="1:12" x14ac:dyDescent="0.25">
      <c r="A14" t="s">
        <v>55</v>
      </c>
      <c r="B14" s="1">
        <v>45717</v>
      </c>
      <c r="C14" s="2" t="s">
        <v>56</v>
      </c>
      <c r="D14" s="2" t="s">
        <v>20</v>
      </c>
      <c r="E14" s="3">
        <v>800</v>
      </c>
      <c r="F14" s="3">
        <v>2</v>
      </c>
      <c r="G14" s="3">
        <v>1600</v>
      </c>
      <c r="H14" s="2" t="s">
        <v>57</v>
      </c>
      <c r="I14" s="2" t="s">
        <v>22</v>
      </c>
      <c r="J14" s="2" t="s">
        <v>58</v>
      </c>
      <c r="K14" s="2" t="s">
        <v>23</v>
      </c>
      <c r="L14" t="str">
        <f t="shared" si="0"/>
        <v>Mar</v>
      </c>
    </row>
    <row r="15" spans="1:12" x14ac:dyDescent="0.25">
      <c r="A15" t="s">
        <v>59</v>
      </c>
      <c r="B15" s="1">
        <v>45720</v>
      </c>
      <c r="C15" s="2" t="s">
        <v>60</v>
      </c>
      <c r="D15" s="2" t="s">
        <v>61</v>
      </c>
      <c r="E15" s="3">
        <v>600</v>
      </c>
      <c r="F15" s="3">
        <v>3</v>
      </c>
      <c r="G15" s="3">
        <v>1800</v>
      </c>
      <c r="H15" s="2" t="s">
        <v>54</v>
      </c>
      <c r="I15" s="2" t="s">
        <v>44</v>
      </c>
      <c r="J15" s="2" t="s">
        <v>31</v>
      </c>
      <c r="K15" s="2" t="s">
        <v>17</v>
      </c>
      <c r="L15" t="str">
        <f t="shared" si="0"/>
        <v>Mar</v>
      </c>
    </row>
    <row r="16" spans="1:12" x14ac:dyDescent="0.25">
      <c r="A16" t="s">
        <v>62</v>
      </c>
      <c r="B16" s="1">
        <v>45708</v>
      </c>
      <c r="C16" s="2" t="s">
        <v>33</v>
      </c>
      <c r="D16" s="2" t="s">
        <v>20</v>
      </c>
      <c r="E16" s="3">
        <v>150</v>
      </c>
      <c r="F16" s="3">
        <v>4</v>
      </c>
      <c r="G16" s="3">
        <v>600</v>
      </c>
      <c r="H16" s="2" t="s">
        <v>25</v>
      </c>
      <c r="I16" s="2" t="s">
        <v>63</v>
      </c>
      <c r="J16" s="2" t="s">
        <v>31</v>
      </c>
      <c r="K16" s="2" t="s">
        <v>40</v>
      </c>
      <c r="L16" t="str">
        <f t="shared" si="0"/>
        <v>Feb</v>
      </c>
    </row>
    <row r="17" spans="1:12" x14ac:dyDescent="0.25">
      <c r="A17" t="s">
        <v>64</v>
      </c>
      <c r="B17" s="1">
        <v>45714</v>
      </c>
      <c r="C17" s="2" t="s">
        <v>65</v>
      </c>
      <c r="D17" s="2" t="s">
        <v>61</v>
      </c>
      <c r="E17" s="3">
        <v>1200</v>
      </c>
      <c r="F17" s="3">
        <v>1</v>
      </c>
      <c r="G17" s="3">
        <v>1200</v>
      </c>
      <c r="H17" s="2" t="s">
        <v>25</v>
      </c>
      <c r="I17" s="2" t="s">
        <v>46</v>
      </c>
      <c r="J17" s="2" t="s">
        <v>31</v>
      </c>
      <c r="K17" s="2" t="s">
        <v>17</v>
      </c>
      <c r="L17" t="str">
        <f t="shared" si="0"/>
        <v>Feb</v>
      </c>
    </row>
    <row r="18" spans="1:12" x14ac:dyDescent="0.25">
      <c r="A18" t="s">
        <v>66</v>
      </c>
      <c r="B18" s="1">
        <v>45748</v>
      </c>
      <c r="C18" s="2" t="s">
        <v>35</v>
      </c>
      <c r="D18" s="2" t="s">
        <v>36</v>
      </c>
      <c r="E18" s="3">
        <v>20</v>
      </c>
      <c r="F18" s="3">
        <v>1</v>
      </c>
      <c r="G18" s="3">
        <v>20</v>
      </c>
      <c r="H18" s="2" t="s">
        <v>14</v>
      </c>
      <c r="I18" s="2" t="s">
        <v>15</v>
      </c>
      <c r="J18" s="2" t="s">
        <v>27</v>
      </c>
      <c r="K18" s="2" t="s">
        <v>40</v>
      </c>
      <c r="L18" t="str">
        <f t="shared" si="0"/>
        <v>Apr</v>
      </c>
    </row>
    <row r="19" spans="1:12" x14ac:dyDescent="0.25">
      <c r="A19" t="s">
        <v>67</v>
      </c>
      <c r="B19" s="1">
        <v>45698</v>
      </c>
      <c r="C19" s="2" t="s">
        <v>42</v>
      </c>
      <c r="D19" s="2" t="s">
        <v>20</v>
      </c>
      <c r="E19" s="3">
        <v>500</v>
      </c>
      <c r="F19" s="3">
        <v>2</v>
      </c>
      <c r="G19" s="3">
        <v>1000</v>
      </c>
      <c r="H19" s="2" t="s">
        <v>54</v>
      </c>
      <c r="I19" s="2" t="s">
        <v>68</v>
      </c>
      <c r="J19" s="2" t="s">
        <v>27</v>
      </c>
      <c r="K19" s="2" t="s">
        <v>40</v>
      </c>
      <c r="L19" t="str">
        <f t="shared" si="0"/>
        <v>Feb</v>
      </c>
    </row>
    <row r="20" spans="1:12" x14ac:dyDescent="0.25">
      <c r="A20" t="s">
        <v>69</v>
      </c>
      <c r="B20" s="1">
        <v>45738</v>
      </c>
      <c r="C20" s="2" t="s">
        <v>12</v>
      </c>
      <c r="D20" s="2" t="s">
        <v>13</v>
      </c>
      <c r="E20" s="3">
        <v>60</v>
      </c>
      <c r="F20" s="3">
        <v>3</v>
      </c>
      <c r="G20" s="3">
        <v>180</v>
      </c>
      <c r="H20" s="2" t="s">
        <v>29</v>
      </c>
      <c r="I20" s="2" t="s">
        <v>38</v>
      </c>
      <c r="J20" s="2" t="s">
        <v>31</v>
      </c>
      <c r="K20" s="2" t="s">
        <v>40</v>
      </c>
      <c r="L20" t="str">
        <f t="shared" si="0"/>
        <v>Mar</v>
      </c>
    </row>
    <row r="21" spans="1:12" x14ac:dyDescent="0.25">
      <c r="A21" t="s">
        <v>70</v>
      </c>
      <c r="B21" s="1">
        <v>45723</v>
      </c>
      <c r="C21" s="2" t="s">
        <v>19</v>
      </c>
      <c r="D21" s="2" t="s">
        <v>20</v>
      </c>
      <c r="E21" s="3">
        <v>100</v>
      </c>
      <c r="F21" s="3">
        <v>4</v>
      </c>
      <c r="G21" s="3">
        <v>400</v>
      </c>
      <c r="H21" s="2" t="s">
        <v>29</v>
      </c>
      <c r="I21" s="2" t="s">
        <v>63</v>
      </c>
      <c r="J21" s="2" t="s">
        <v>16</v>
      </c>
      <c r="K21" s="2" t="s">
        <v>23</v>
      </c>
      <c r="L21" t="str">
        <f t="shared" si="0"/>
        <v>Mar</v>
      </c>
    </row>
    <row r="22" spans="1:12" x14ac:dyDescent="0.25">
      <c r="A22" t="s">
        <v>71</v>
      </c>
      <c r="B22" s="1">
        <v>45693</v>
      </c>
      <c r="C22" s="2" t="s">
        <v>19</v>
      </c>
      <c r="D22" s="2" t="s">
        <v>20</v>
      </c>
      <c r="E22" s="3">
        <v>100</v>
      </c>
      <c r="F22" s="3">
        <v>3</v>
      </c>
      <c r="G22" s="3">
        <v>300</v>
      </c>
      <c r="H22" s="2" t="s">
        <v>72</v>
      </c>
      <c r="I22" s="2" t="s">
        <v>44</v>
      </c>
      <c r="J22" s="2" t="s">
        <v>16</v>
      </c>
      <c r="K22" s="2" t="s">
        <v>17</v>
      </c>
      <c r="L22" t="str">
        <f t="shared" si="0"/>
        <v>Feb</v>
      </c>
    </row>
    <row r="23" spans="1:12" x14ac:dyDescent="0.25">
      <c r="A23" t="s">
        <v>73</v>
      </c>
      <c r="B23" s="1">
        <v>45723</v>
      </c>
      <c r="C23" s="2" t="s">
        <v>65</v>
      </c>
      <c r="D23" s="2" t="s">
        <v>61</v>
      </c>
      <c r="E23" s="3">
        <v>1200</v>
      </c>
      <c r="F23" s="3">
        <v>4</v>
      </c>
      <c r="G23" s="3">
        <v>4800</v>
      </c>
      <c r="H23" s="2" t="s">
        <v>29</v>
      </c>
      <c r="I23" s="2" t="s">
        <v>38</v>
      </c>
      <c r="J23" s="2" t="s">
        <v>31</v>
      </c>
      <c r="K23" s="2" t="s">
        <v>23</v>
      </c>
      <c r="L23" t="str">
        <f t="shared" si="0"/>
        <v>Mar</v>
      </c>
    </row>
    <row r="24" spans="1:12" x14ac:dyDescent="0.25">
      <c r="A24" t="s">
        <v>74</v>
      </c>
      <c r="B24" s="1">
        <v>45711</v>
      </c>
      <c r="C24" s="2" t="s">
        <v>49</v>
      </c>
      <c r="D24" s="2" t="s">
        <v>50</v>
      </c>
      <c r="E24" s="3">
        <v>15</v>
      </c>
      <c r="F24" s="3">
        <v>1</v>
      </c>
      <c r="G24" s="3">
        <v>15</v>
      </c>
      <c r="H24" s="2" t="s">
        <v>14</v>
      </c>
      <c r="I24" s="2" t="s">
        <v>38</v>
      </c>
      <c r="J24" s="2" t="s">
        <v>31</v>
      </c>
      <c r="K24" s="2" t="s">
        <v>23</v>
      </c>
      <c r="L24" t="str">
        <f t="shared" si="0"/>
        <v>Feb</v>
      </c>
    </row>
    <row r="25" spans="1:12" x14ac:dyDescent="0.25">
      <c r="A25" t="s">
        <v>75</v>
      </c>
      <c r="B25" s="1">
        <v>45740</v>
      </c>
      <c r="C25" s="2" t="s">
        <v>65</v>
      </c>
      <c r="D25" s="2" t="s">
        <v>61</v>
      </c>
      <c r="E25" s="3">
        <v>1200</v>
      </c>
      <c r="F25" s="3">
        <v>3</v>
      </c>
      <c r="G25" s="3">
        <v>3600</v>
      </c>
      <c r="H25" s="2" t="s">
        <v>72</v>
      </c>
      <c r="I25" s="2" t="s">
        <v>30</v>
      </c>
      <c r="J25" s="2" t="s">
        <v>31</v>
      </c>
      <c r="K25" s="2" t="s">
        <v>17</v>
      </c>
      <c r="L25" t="str">
        <f t="shared" si="0"/>
        <v>Mar</v>
      </c>
    </row>
    <row r="26" spans="1:12" x14ac:dyDescent="0.25">
      <c r="A26" t="s">
        <v>76</v>
      </c>
      <c r="B26" s="1">
        <v>45718</v>
      </c>
      <c r="C26" s="2" t="s">
        <v>49</v>
      </c>
      <c r="D26" s="2" t="s">
        <v>50</v>
      </c>
      <c r="E26" s="3">
        <v>15</v>
      </c>
      <c r="F26" s="3">
        <v>5</v>
      </c>
      <c r="G26" s="3">
        <v>75</v>
      </c>
      <c r="H26" s="2" t="s">
        <v>43</v>
      </c>
      <c r="I26" s="2" t="s">
        <v>63</v>
      </c>
      <c r="J26" s="2" t="s">
        <v>27</v>
      </c>
      <c r="K26" s="2" t="s">
        <v>40</v>
      </c>
      <c r="L26" t="str">
        <f t="shared" si="0"/>
        <v>Mar</v>
      </c>
    </row>
    <row r="27" spans="1:12" x14ac:dyDescent="0.25">
      <c r="A27" t="s">
        <v>77</v>
      </c>
      <c r="B27" s="1">
        <v>45702</v>
      </c>
      <c r="C27" s="2" t="s">
        <v>60</v>
      </c>
      <c r="D27" s="2" t="s">
        <v>61</v>
      </c>
      <c r="E27" s="3">
        <v>600</v>
      </c>
      <c r="F27" s="3">
        <v>1</v>
      </c>
      <c r="G27" s="3">
        <v>600</v>
      </c>
      <c r="H27" s="2" t="s">
        <v>29</v>
      </c>
      <c r="I27" s="2" t="s">
        <v>46</v>
      </c>
      <c r="J27" s="2" t="s">
        <v>16</v>
      </c>
      <c r="K27" s="2" t="s">
        <v>17</v>
      </c>
      <c r="L27" t="str">
        <f t="shared" si="0"/>
        <v>Feb</v>
      </c>
    </row>
    <row r="28" spans="1:12" x14ac:dyDescent="0.25">
      <c r="A28" t="s">
        <v>78</v>
      </c>
      <c r="B28" s="1">
        <v>45695</v>
      </c>
      <c r="C28" s="2" t="s">
        <v>35</v>
      </c>
      <c r="D28" s="2" t="s">
        <v>36</v>
      </c>
      <c r="E28" s="3">
        <v>20</v>
      </c>
      <c r="F28" s="3">
        <v>1</v>
      </c>
      <c r="G28" s="3">
        <v>20</v>
      </c>
      <c r="H28" s="2" t="s">
        <v>57</v>
      </c>
      <c r="I28" s="2" t="s">
        <v>15</v>
      </c>
      <c r="J28" s="2" t="s">
        <v>27</v>
      </c>
      <c r="K28" s="2" t="s">
        <v>23</v>
      </c>
      <c r="L28" t="str">
        <f t="shared" si="0"/>
        <v>Feb</v>
      </c>
    </row>
    <row r="29" spans="1:12" x14ac:dyDescent="0.25">
      <c r="A29" t="s">
        <v>79</v>
      </c>
      <c r="B29" s="1">
        <v>45691</v>
      </c>
      <c r="C29" s="2" t="s">
        <v>19</v>
      </c>
      <c r="D29" s="2" t="s">
        <v>20</v>
      </c>
      <c r="E29" s="3">
        <v>100</v>
      </c>
      <c r="F29" s="3">
        <v>1</v>
      </c>
      <c r="G29" s="3">
        <v>100</v>
      </c>
      <c r="H29" s="2" t="s">
        <v>80</v>
      </c>
      <c r="I29" s="2" t="s">
        <v>81</v>
      </c>
      <c r="J29" s="2" t="s">
        <v>27</v>
      </c>
      <c r="K29" s="2" t="s">
        <v>40</v>
      </c>
      <c r="L29" t="str">
        <f t="shared" si="0"/>
        <v>Feb</v>
      </c>
    </row>
    <row r="30" spans="1:12" x14ac:dyDescent="0.25">
      <c r="A30" t="s">
        <v>82</v>
      </c>
      <c r="B30" s="1">
        <v>45700</v>
      </c>
      <c r="C30" s="2" t="s">
        <v>42</v>
      </c>
      <c r="D30" s="2" t="s">
        <v>20</v>
      </c>
      <c r="E30" s="3">
        <v>500</v>
      </c>
      <c r="F30" s="3">
        <v>1</v>
      </c>
      <c r="G30" s="3">
        <v>500</v>
      </c>
      <c r="H30" s="2" t="s">
        <v>43</v>
      </c>
      <c r="I30" s="2" t="s">
        <v>26</v>
      </c>
      <c r="J30" s="2" t="s">
        <v>31</v>
      </c>
      <c r="K30" s="2" t="s">
        <v>17</v>
      </c>
      <c r="L30" t="str">
        <f t="shared" si="0"/>
        <v>Feb</v>
      </c>
    </row>
    <row r="31" spans="1:12" x14ac:dyDescent="0.25">
      <c r="A31" t="s">
        <v>83</v>
      </c>
      <c r="B31" s="1">
        <v>45698</v>
      </c>
      <c r="C31" s="2" t="s">
        <v>60</v>
      </c>
      <c r="D31" s="2" t="s">
        <v>61</v>
      </c>
      <c r="E31" s="3">
        <v>600</v>
      </c>
      <c r="F31" s="3">
        <v>3</v>
      </c>
      <c r="G31" s="3">
        <v>1800</v>
      </c>
      <c r="H31" s="2" t="s">
        <v>21</v>
      </c>
      <c r="I31" s="2" t="s">
        <v>30</v>
      </c>
      <c r="J31" s="2" t="s">
        <v>58</v>
      </c>
      <c r="K31" s="2" t="s">
        <v>17</v>
      </c>
      <c r="L31" t="str">
        <f t="shared" si="0"/>
        <v>Feb</v>
      </c>
    </row>
    <row r="32" spans="1:12" x14ac:dyDescent="0.25">
      <c r="A32" t="s">
        <v>84</v>
      </c>
      <c r="B32" s="1">
        <v>45740</v>
      </c>
      <c r="C32" s="2" t="s">
        <v>42</v>
      </c>
      <c r="D32" s="2" t="s">
        <v>20</v>
      </c>
      <c r="E32" s="3">
        <v>500</v>
      </c>
      <c r="F32" s="3">
        <v>1</v>
      </c>
      <c r="G32" s="3">
        <v>500</v>
      </c>
      <c r="H32" s="2" t="s">
        <v>25</v>
      </c>
      <c r="I32" s="2" t="s">
        <v>38</v>
      </c>
      <c r="J32" s="2" t="s">
        <v>58</v>
      </c>
      <c r="K32" s="2" t="s">
        <v>23</v>
      </c>
      <c r="L32" t="str">
        <f t="shared" si="0"/>
        <v>Mar</v>
      </c>
    </row>
    <row r="33" spans="1:12" x14ac:dyDescent="0.25">
      <c r="A33" t="s">
        <v>85</v>
      </c>
      <c r="B33" s="1">
        <v>45726</v>
      </c>
      <c r="C33" s="2" t="s">
        <v>42</v>
      </c>
      <c r="D33" s="2" t="s">
        <v>20</v>
      </c>
      <c r="E33" s="3">
        <v>500</v>
      </c>
      <c r="F33" s="3">
        <v>4</v>
      </c>
      <c r="G33" s="3">
        <v>2000</v>
      </c>
      <c r="H33" s="2" t="s">
        <v>54</v>
      </c>
      <c r="I33" s="2" t="s">
        <v>63</v>
      </c>
      <c r="J33" s="2" t="s">
        <v>39</v>
      </c>
      <c r="K33" s="2" t="s">
        <v>23</v>
      </c>
      <c r="L33" t="str">
        <f t="shared" si="0"/>
        <v>Mar</v>
      </c>
    </row>
    <row r="34" spans="1:12" x14ac:dyDescent="0.25">
      <c r="A34" t="s">
        <v>86</v>
      </c>
      <c r="B34" s="1">
        <v>45692</v>
      </c>
      <c r="C34" s="2" t="s">
        <v>49</v>
      </c>
      <c r="D34" s="2" t="s">
        <v>50</v>
      </c>
      <c r="E34" s="3">
        <v>15</v>
      </c>
      <c r="F34" s="3">
        <v>1</v>
      </c>
      <c r="G34" s="3">
        <v>15</v>
      </c>
      <c r="H34" s="2" t="s">
        <v>29</v>
      </c>
      <c r="I34" s="2" t="s">
        <v>15</v>
      </c>
      <c r="J34" s="2" t="s">
        <v>16</v>
      </c>
      <c r="K34" s="2" t="s">
        <v>17</v>
      </c>
      <c r="L34" t="str">
        <f t="shared" si="0"/>
        <v>Feb</v>
      </c>
    </row>
    <row r="35" spans="1:12" x14ac:dyDescent="0.25">
      <c r="A35" t="s">
        <v>87</v>
      </c>
      <c r="B35" s="1">
        <v>45749</v>
      </c>
      <c r="C35" s="2" t="s">
        <v>35</v>
      </c>
      <c r="D35" s="2" t="s">
        <v>36</v>
      </c>
      <c r="E35" s="3">
        <v>20</v>
      </c>
      <c r="F35" s="3">
        <v>5</v>
      </c>
      <c r="G35" s="3">
        <v>100</v>
      </c>
      <c r="H35" s="2" t="s">
        <v>80</v>
      </c>
      <c r="I35" s="2" t="s">
        <v>15</v>
      </c>
      <c r="J35" s="2" t="s">
        <v>31</v>
      </c>
      <c r="K35" s="2" t="s">
        <v>23</v>
      </c>
      <c r="L35" t="str">
        <f t="shared" si="0"/>
        <v>Apr</v>
      </c>
    </row>
    <row r="36" spans="1:12" x14ac:dyDescent="0.25">
      <c r="A36" t="s">
        <v>88</v>
      </c>
      <c r="B36" s="1">
        <v>45749</v>
      </c>
      <c r="C36" s="2" t="s">
        <v>56</v>
      </c>
      <c r="D36" s="2" t="s">
        <v>20</v>
      </c>
      <c r="E36" s="3">
        <v>800</v>
      </c>
      <c r="F36" s="3">
        <v>3</v>
      </c>
      <c r="G36" s="3">
        <v>2400</v>
      </c>
      <c r="H36" s="2" t="s">
        <v>14</v>
      </c>
      <c r="I36" s="2" t="s">
        <v>26</v>
      </c>
      <c r="J36" s="2" t="s">
        <v>27</v>
      </c>
      <c r="K36" s="2" t="s">
        <v>40</v>
      </c>
      <c r="L36" t="str">
        <f t="shared" si="0"/>
        <v>Apr</v>
      </c>
    </row>
    <row r="37" spans="1:12" x14ac:dyDescent="0.25">
      <c r="A37" t="s">
        <v>89</v>
      </c>
      <c r="B37" s="1">
        <v>45697</v>
      </c>
      <c r="C37" s="2" t="s">
        <v>65</v>
      </c>
      <c r="D37" s="2" t="s">
        <v>61</v>
      </c>
      <c r="E37" s="3">
        <v>1200</v>
      </c>
      <c r="F37" s="3">
        <v>2</v>
      </c>
      <c r="G37" s="3">
        <v>2400</v>
      </c>
      <c r="H37" s="2" t="s">
        <v>43</v>
      </c>
      <c r="I37" s="2" t="s">
        <v>46</v>
      </c>
      <c r="J37" s="2" t="s">
        <v>39</v>
      </c>
      <c r="K37" s="2" t="s">
        <v>17</v>
      </c>
      <c r="L37" t="str">
        <f t="shared" si="0"/>
        <v>Feb</v>
      </c>
    </row>
    <row r="38" spans="1:12" x14ac:dyDescent="0.25">
      <c r="A38" t="s">
        <v>90</v>
      </c>
      <c r="B38" s="1">
        <v>45704</v>
      </c>
      <c r="C38" s="2" t="s">
        <v>19</v>
      </c>
      <c r="D38" s="2" t="s">
        <v>20</v>
      </c>
      <c r="E38" s="3">
        <v>100</v>
      </c>
      <c r="F38" s="3">
        <v>3</v>
      </c>
      <c r="G38" s="3">
        <v>300</v>
      </c>
      <c r="H38" s="2" t="s">
        <v>54</v>
      </c>
      <c r="I38" s="2" t="s">
        <v>15</v>
      </c>
      <c r="J38" s="2" t="s">
        <v>16</v>
      </c>
      <c r="K38" s="2" t="s">
        <v>17</v>
      </c>
      <c r="L38" t="str">
        <f t="shared" si="0"/>
        <v>Feb</v>
      </c>
    </row>
    <row r="39" spans="1:12" x14ac:dyDescent="0.25">
      <c r="A39" t="s">
        <v>91</v>
      </c>
      <c r="B39" s="1">
        <v>45742</v>
      </c>
      <c r="C39" s="2" t="s">
        <v>56</v>
      </c>
      <c r="D39" s="2" t="s">
        <v>20</v>
      </c>
      <c r="E39" s="3">
        <v>800</v>
      </c>
      <c r="F39" s="3">
        <v>3</v>
      </c>
      <c r="G39" s="3">
        <v>2400</v>
      </c>
      <c r="H39" s="2" t="s">
        <v>29</v>
      </c>
      <c r="I39" s="2" t="s">
        <v>81</v>
      </c>
      <c r="J39" s="2" t="s">
        <v>27</v>
      </c>
      <c r="K39" s="2" t="s">
        <v>40</v>
      </c>
      <c r="L39" t="str">
        <f t="shared" si="0"/>
        <v>Mar</v>
      </c>
    </row>
    <row r="40" spans="1:12" x14ac:dyDescent="0.25">
      <c r="A40" t="s">
        <v>92</v>
      </c>
      <c r="B40" s="1">
        <v>45718</v>
      </c>
      <c r="C40" s="2" t="s">
        <v>56</v>
      </c>
      <c r="D40" s="2" t="s">
        <v>20</v>
      </c>
      <c r="E40" s="3">
        <v>800</v>
      </c>
      <c r="F40" s="3">
        <v>2</v>
      </c>
      <c r="G40" s="3">
        <v>1600</v>
      </c>
      <c r="H40" s="2" t="s">
        <v>29</v>
      </c>
      <c r="I40" s="2" t="s">
        <v>22</v>
      </c>
      <c r="J40" s="2" t="s">
        <v>39</v>
      </c>
      <c r="K40" s="2" t="s">
        <v>40</v>
      </c>
      <c r="L40" t="str">
        <f t="shared" si="0"/>
        <v>Mar</v>
      </c>
    </row>
    <row r="41" spans="1:12" x14ac:dyDescent="0.25">
      <c r="A41" t="s">
        <v>93</v>
      </c>
      <c r="B41" s="1">
        <v>45742</v>
      </c>
      <c r="C41" s="2" t="s">
        <v>33</v>
      </c>
      <c r="D41" s="2" t="s">
        <v>20</v>
      </c>
      <c r="E41" s="3">
        <v>150</v>
      </c>
      <c r="F41" s="3">
        <v>1</v>
      </c>
      <c r="G41" s="3">
        <v>150</v>
      </c>
      <c r="H41" s="2" t="s">
        <v>21</v>
      </c>
      <c r="I41" s="2" t="s">
        <v>63</v>
      </c>
      <c r="J41" s="2" t="s">
        <v>58</v>
      </c>
      <c r="K41" s="2" t="s">
        <v>23</v>
      </c>
      <c r="L41" t="str">
        <f t="shared" si="0"/>
        <v>Mar</v>
      </c>
    </row>
    <row r="42" spans="1:12" x14ac:dyDescent="0.25">
      <c r="A42" t="s">
        <v>94</v>
      </c>
      <c r="B42" s="1">
        <v>45708</v>
      </c>
      <c r="C42" s="2" t="s">
        <v>49</v>
      </c>
      <c r="D42" s="2" t="s">
        <v>50</v>
      </c>
      <c r="E42" s="3">
        <v>15</v>
      </c>
      <c r="F42" s="3">
        <v>1</v>
      </c>
      <c r="G42" s="3">
        <v>15</v>
      </c>
      <c r="H42" s="2" t="s">
        <v>80</v>
      </c>
      <c r="I42" s="2" t="s">
        <v>44</v>
      </c>
      <c r="J42" s="2" t="s">
        <v>31</v>
      </c>
      <c r="K42" s="2" t="s">
        <v>17</v>
      </c>
      <c r="L42" t="str">
        <f t="shared" si="0"/>
        <v>Feb</v>
      </c>
    </row>
    <row r="43" spans="1:12" x14ac:dyDescent="0.25">
      <c r="A43" t="s">
        <v>95</v>
      </c>
      <c r="B43" s="1">
        <v>45733</v>
      </c>
      <c r="C43" s="2" t="s">
        <v>19</v>
      </c>
      <c r="D43" s="2" t="s">
        <v>20</v>
      </c>
      <c r="E43" s="3">
        <v>100</v>
      </c>
      <c r="F43" s="3">
        <v>3</v>
      </c>
      <c r="G43" s="3">
        <v>300</v>
      </c>
      <c r="H43" s="2" t="s">
        <v>80</v>
      </c>
      <c r="I43" s="2" t="s">
        <v>81</v>
      </c>
      <c r="J43" s="2" t="s">
        <v>27</v>
      </c>
      <c r="K43" s="2" t="s">
        <v>17</v>
      </c>
      <c r="L43" t="str">
        <f t="shared" si="0"/>
        <v>Mar</v>
      </c>
    </row>
    <row r="44" spans="1:12" x14ac:dyDescent="0.25">
      <c r="A44" t="s">
        <v>96</v>
      </c>
      <c r="B44" s="1">
        <v>45696</v>
      </c>
      <c r="C44" s="2" t="s">
        <v>35</v>
      </c>
      <c r="D44" s="2" t="s">
        <v>36</v>
      </c>
      <c r="E44" s="3">
        <v>20</v>
      </c>
      <c r="F44" s="3">
        <v>4</v>
      </c>
      <c r="G44" s="3">
        <v>80</v>
      </c>
      <c r="H44" s="2" t="s">
        <v>80</v>
      </c>
      <c r="I44" s="2" t="s">
        <v>26</v>
      </c>
      <c r="J44" s="2" t="s">
        <v>31</v>
      </c>
      <c r="K44" s="2" t="s">
        <v>23</v>
      </c>
      <c r="L44" t="str">
        <f t="shared" si="0"/>
        <v>Feb</v>
      </c>
    </row>
    <row r="45" spans="1:12" x14ac:dyDescent="0.25">
      <c r="A45" t="s">
        <v>97</v>
      </c>
      <c r="B45" s="1">
        <v>45740</v>
      </c>
      <c r="C45" s="2" t="s">
        <v>33</v>
      </c>
      <c r="D45" s="2" t="s">
        <v>20</v>
      </c>
      <c r="E45" s="3">
        <v>150</v>
      </c>
      <c r="F45" s="3">
        <v>1</v>
      </c>
      <c r="G45" s="3">
        <v>150</v>
      </c>
      <c r="H45" s="2" t="s">
        <v>72</v>
      </c>
      <c r="I45" s="2" t="s">
        <v>38</v>
      </c>
      <c r="J45" s="2" t="s">
        <v>16</v>
      </c>
      <c r="K45" s="2" t="s">
        <v>23</v>
      </c>
      <c r="L45" t="str">
        <f t="shared" si="0"/>
        <v>Mar</v>
      </c>
    </row>
    <row r="46" spans="1:12" x14ac:dyDescent="0.25">
      <c r="A46" t="s">
        <v>98</v>
      </c>
      <c r="B46" s="1">
        <v>45731</v>
      </c>
      <c r="C46" s="2" t="s">
        <v>65</v>
      </c>
      <c r="D46" s="2" t="s">
        <v>61</v>
      </c>
      <c r="E46" s="3">
        <v>1200</v>
      </c>
      <c r="F46" s="3">
        <v>3</v>
      </c>
      <c r="G46" s="3">
        <v>3600</v>
      </c>
      <c r="H46" s="2" t="s">
        <v>57</v>
      </c>
      <c r="I46" s="2" t="s">
        <v>15</v>
      </c>
      <c r="J46" s="2" t="s">
        <v>31</v>
      </c>
      <c r="K46" s="2" t="s">
        <v>23</v>
      </c>
      <c r="L46" t="str">
        <f t="shared" si="0"/>
        <v>Mar</v>
      </c>
    </row>
    <row r="47" spans="1:12" x14ac:dyDescent="0.25">
      <c r="A47" t="s">
        <v>99</v>
      </c>
      <c r="B47" s="1">
        <v>45722</v>
      </c>
      <c r="C47" s="2" t="s">
        <v>12</v>
      </c>
      <c r="D47" s="2" t="s">
        <v>13</v>
      </c>
      <c r="E47" s="3">
        <v>60</v>
      </c>
      <c r="F47" s="3">
        <v>2</v>
      </c>
      <c r="G47" s="3">
        <v>120</v>
      </c>
      <c r="H47" s="2" t="s">
        <v>51</v>
      </c>
      <c r="I47" s="2" t="s">
        <v>38</v>
      </c>
      <c r="J47" s="2" t="s">
        <v>16</v>
      </c>
      <c r="K47" s="2" t="s">
        <v>17</v>
      </c>
      <c r="L47" t="str">
        <f t="shared" si="0"/>
        <v>Mar</v>
      </c>
    </row>
    <row r="48" spans="1:12" x14ac:dyDescent="0.25">
      <c r="A48" t="s">
        <v>100</v>
      </c>
      <c r="B48" s="1">
        <v>45742</v>
      </c>
      <c r="C48" s="2" t="s">
        <v>35</v>
      </c>
      <c r="D48" s="2" t="s">
        <v>36</v>
      </c>
      <c r="E48" s="3">
        <v>20</v>
      </c>
      <c r="F48" s="3">
        <v>2</v>
      </c>
      <c r="G48" s="3">
        <v>40</v>
      </c>
      <c r="H48" s="2" t="s">
        <v>72</v>
      </c>
      <c r="I48" s="2" t="s">
        <v>44</v>
      </c>
      <c r="J48" s="2" t="s">
        <v>58</v>
      </c>
      <c r="K48" s="2" t="s">
        <v>17</v>
      </c>
      <c r="L48" t="str">
        <f t="shared" si="0"/>
        <v>Mar</v>
      </c>
    </row>
    <row r="49" spans="1:12" x14ac:dyDescent="0.25">
      <c r="A49" t="s">
        <v>101</v>
      </c>
      <c r="B49" s="1">
        <v>45699</v>
      </c>
      <c r="C49" s="2" t="s">
        <v>35</v>
      </c>
      <c r="D49" s="2" t="s">
        <v>36</v>
      </c>
      <c r="E49" s="3">
        <v>20</v>
      </c>
      <c r="F49" s="3">
        <v>5</v>
      </c>
      <c r="G49" s="3">
        <v>100</v>
      </c>
      <c r="H49" s="2" t="s">
        <v>80</v>
      </c>
      <c r="I49" s="2" t="s">
        <v>26</v>
      </c>
      <c r="J49" s="2" t="s">
        <v>27</v>
      </c>
      <c r="K49" s="2" t="s">
        <v>40</v>
      </c>
      <c r="L49" t="str">
        <f t="shared" si="0"/>
        <v>Feb</v>
      </c>
    </row>
    <row r="50" spans="1:12" x14ac:dyDescent="0.25">
      <c r="A50" t="s">
        <v>102</v>
      </c>
      <c r="B50" s="1">
        <v>45706</v>
      </c>
      <c r="C50" s="2" t="s">
        <v>42</v>
      </c>
      <c r="D50" s="2" t="s">
        <v>20</v>
      </c>
      <c r="E50" s="3">
        <v>500</v>
      </c>
      <c r="F50" s="3">
        <v>4</v>
      </c>
      <c r="G50" s="3">
        <v>2000</v>
      </c>
      <c r="H50" s="2" t="s">
        <v>14</v>
      </c>
      <c r="I50" s="2" t="s">
        <v>81</v>
      </c>
      <c r="J50" s="2" t="s">
        <v>16</v>
      </c>
      <c r="K50" s="2" t="s">
        <v>40</v>
      </c>
      <c r="L50" t="str">
        <f t="shared" si="0"/>
        <v>Feb</v>
      </c>
    </row>
    <row r="51" spans="1:12" x14ac:dyDescent="0.25">
      <c r="A51" t="s">
        <v>103</v>
      </c>
      <c r="B51" s="1">
        <v>45730</v>
      </c>
      <c r="C51" s="2" t="s">
        <v>53</v>
      </c>
      <c r="D51" s="2" t="s">
        <v>36</v>
      </c>
      <c r="E51" s="3">
        <v>40</v>
      </c>
      <c r="F51" s="3">
        <v>3</v>
      </c>
      <c r="G51" s="3">
        <v>120</v>
      </c>
      <c r="H51" s="2" t="s">
        <v>25</v>
      </c>
      <c r="I51" s="2" t="s">
        <v>46</v>
      </c>
      <c r="J51" s="2" t="s">
        <v>58</v>
      </c>
      <c r="K51" s="2" t="s">
        <v>40</v>
      </c>
      <c r="L51" t="str">
        <f t="shared" si="0"/>
        <v>Mar</v>
      </c>
    </row>
    <row r="52" spans="1:12" x14ac:dyDescent="0.25">
      <c r="A52" t="s">
        <v>104</v>
      </c>
      <c r="B52" s="1">
        <v>45707</v>
      </c>
      <c r="C52" s="2" t="s">
        <v>49</v>
      </c>
      <c r="D52" s="2" t="s">
        <v>50</v>
      </c>
      <c r="E52" s="3">
        <v>15</v>
      </c>
      <c r="F52" s="3">
        <v>1</v>
      </c>
      <c r="G52" s="3">
        <v>15</v>
      </c>
      <c r="H52" s="2" t="s">
        <v>14</v>
      </c>
      <c r="I52" s="2" t="s">
        <v>38</v>
      </c>
      <c r="J52" s="2" t="s">
        <v>58</v>
      </c>
      <c r="K52" s="2" t="s">
        <v>17</v>
      </c>
      <c r="L52" t="str">
        <f t="shared" si="0"/>
        <v>Feb</v>
      </c>
    </row>
    <row r="53" spans="1:12" x14ac:dyDescent="0.25">
      <c r="A53" t="s">
        <v>105</v>
      </c>
      <c r="B53" s="1">
        <v>45712</v>
      </c>
      <c r="C53" s="2" t="s">
        <v>56</v>
      </c>
      <c r="D53" s="2" t="s">
        <v>20</v>
      </c>
      <c r="E53" s="3">
        <v>800</v>
      </c>
      <c r="F53" s="3">
        <v>3</v>
      </c>
      <c r="G53" s="3">
        <v>2400</v>
      </c>
      <c r="H53" s="2" t="s">
        <v>25</v>
      </c>
      <c r="I53" s="2" t="s">
        <v>22</v>
      </c>
      <c r="J53" s="2" t="s">
        <v>31</v>
      </c>
      <c r="K53" s="2" t="s">
        <v>23</v>
      </c>
      <c r="L53" t="str">
        <f t="shared" si="0"/>
        <v>Feb</v>
      </c>
    </row>
    <row r="54" spans="1:12" x14ac:dyDescent="0.25">
      <c r="A54" t="s">
        <v>106</v>
      </c>
      <c r="B54" s="1">
        <v>45740</v>
      </c>
      <c r="C54" s="2" t="s">
        <v>12</v>
      </c>
      <c r="D54" s="2" t="s">
        <v>13</v>
      </c>
      <c r="E54" s="3">
        <v>60</v>
      </c>
      <c r="F54" s="3">
        <v>4</v>
      </c>
      <c r="G54" s="3">
        <v>240</v>
      </c>
      <c r="H54" s="2" t="s">
        <v>21</v>
      </c>
      <c r="I54" s="2" t="s">
        <v>68</v>
      </c>
      <c r="J54" s="2" t="s">
        <v>39</v>
      </c>
      <c r="K54" s="2" t="s">
        <v>40</v>
      </c>
      <c r="L54" t="str">
        <f t="shared" si="0"/>
        <v>Mar</v>
      </c>
    </row>
    <row r="55" spans="1:12" x14ac:dyDescent="0.25">
      <c r="A55" t="s">
        <v>107</v>
      </c>
      <c r="B55" s="1">
        <v>45731</v>
      </c>
      <c r="C55" s="2" t="s">
        <v>33</v>
      </c>
      <c r="D55" s="2" t="s">
        <v>20</v>
      </c>
      <c r="E55" s="3">
        <v>150</v>
      </c>
      <c r="F55" s="3">
        <v>3</v>
      </c>
      <c r="G55" s="3">
        <v>450</v>
      </c>
      <c r="H55" s="2" t="s">
        <v>51</v>
      </c>
      <c r="I55" s="2" t="s">
        <v>46</v>
      </c>
      <c r="J55" s="2" t="s">
        <v>58</v>
      </c>
      <c r="K55" s="2" t="s">
        <v>23</v>
      </c>
      <c r="L55" t="str">
        <f t="shared" si="0"/>
        <v>Mar</v>
      </c>
    </row>
    <row r="56" spans="1:12" x14ac:dyDescent="0.25">
      <c r="A56" t="s">
        <v>108</v>
      </c>
      <c r="B56" s="1">
        <v>45731</v>
      </c>
      <c r="C56" s="2" t="s">
        <v>53</v>
      </c>
      <c r="D56" s="2" t="s">
        <v>36</v>
      </c>
      <c r="E56" s="3">
        <v>40</v>
      </c>
      <c r="F56" s="3">
        <v>2</v>
      </c>
      <c r="G56" s="3">
        <v>80</v>
      </c>
      <c r="H56" s="2" t="s">
        <v>43</v>
      </c>
      <c r="I56" s="2" t="s">
        <v>30</v>
      </c>
      <c r="J56" s="2" t="s">
        <v>39</v>
      </c>
      <c r="K56" s="2" t="s">
        <v>40</v>
      </c>
      <c r="L56" t="str">
        <f t="shared" si="0"/>
        <v>Mar</v>
      </c>
    </row>
    <row r="57" spans="1:12" x14ac:dyDescent="0.25">
      <c r="A57" t="s">
        <v>109</v>
      </c>
      <c r="B57" s="1">
        <v>45735</v>
      </c>
      <c r="C57" s="2" t="s">
        <v>33</v>
      </c>
      <c r="D57" s="2" t="s">
        <v>20</v>
      </c>
      <c r="E57" s="3">
        <v>150</v>
      </c>
      <c r="F57" s="3">
        <v>2</v>
      </c>
      <c r="G57" s="3">
        <v>300</v>
      </c>
      <c r="H57" s="2" t="s">
        <v>14</v>
      </c>
      <c r="I57" s="2" t="s">
        <v>30</v>
      </c>
      <c r="J57" s="2" t="s">
        <v>31</v>
      </c>
      <c r="K57" s="2" t="s">
        <v>40</v>
      </c>
      <c r="L57" t="str">
        <f t="shared" si="0"/>
        <v>Mar</v>
      </c>
    </row>
    <row r="58" spans="1:12" x14ac:dyDescent="0.25">
      <c r="A58" t="s">
        <v>110</v>
      </c>
      <c r="B58" s="1">
        <v>45731</v>
      </c>
      <c r="C58" s="2" t="s">
        <v>42</v>
      </c>
      <c r="D58" s="2" t="s">
        <v>20</v>
      </c>
      <c r="E58" s="3">
        <v>500</v>
      </c>
      <c r="F58" s="3">
        <v>1</v>
      </c>
      <c r="G58" s="3">
        <v>500</v>
      </c>
      <c r="H58" s="2" t="s">
        <v>80</v>
      </c>
      <c r="I58" s="2" t="s">
        <v>68</v>
      </c>
      <c r="J58" s="2" t="s">
        <v>16</v>
      </c>
      <c r="K58" s="2" t="s">
        <v>17</v>
      </c>
      <c r="L58" t="str">
        <f t="shared" si="0"/>
        <v>Mar</v>
      </c>
    </row>
    <row r="59" spans="1:12" x14ac:dyDescent="0.25">
      <c r="A59" t="s">
        <v>111</v>
      </c>
      <c r="B59" s="1">
        <v>45729</v>
      </c>
      <c r="C59" s="2" t="s">
        <v>42</v>
      </c>
      <c r="D59" s="2" t="s">
        <v>20</v>
      </c>
      <c r="E59" s="3">
        <v>500</v>
      </c>
      <c r="F59" s="3">
        <v>1</v>
      </c>
      <c r="G59" s="3">
        <v>500</v>
      </c>
      <c r="H59" s="2" t="s">
        <v>80</v>
      </c>
      <c r="I59" s="2" t="s">
        <v>81</v>
      </c>
      <c r="J59" s="2" t="s">
        <v>39</v>
      </c>
      <c r="K59" s="2" t="s">
        <v>17</v>
      </c>
      <c r="L59" t="str">
        <f t="shared" si="0"/>
        <v>Mar</v>
      </c>
    </row>
    <row r="60" spans="1:12" x14ac:dyDescent="0.25">
      <c r="A60" t="s">
        <v>112</v>
      </c>
      <c r="B60" s="1">
        <v>45748</v>
      </c>
      <c r="C60" s="2" t="s">
        <v>33</v>
      </c>
      <c r="D60" s="2" t="s">
        <v>20</v>
      </c>
      <c r="E60" s="3">
        <v>150</v>
      </c>
      <c r="F60" s="3">
        <v>2</v>
      </c>
      <c r="G60" s="3">
        <v>300</v>
      </c>
      <c r="H60" s="2" t="s">
        <v>57</v>
      </c>
      <c r="I60" s="2" t="s">
        <v>30</v>
      </c>
      <c r="J60" s="2" t="s">
        <v>31</v>
      </c>
      <c r="K60" s="2" t="s">
        <v>17</v>
      </c>
      <c r="L60" t="str">
        <f t="shared" si="0"/>
        <v>Apr</v>
      </c>
    </row>
    <row r="61" spans="1:12" x14ac:dyDescent="0.25">
      <c r="A61" t="s">
        <v>113</v>
      </c>
      <c r="B61" s="1">
        <v>45728</v>
      </c>
      <c r="C61" s="2" t="s">
        <v>49</v>
      </c>
      <c r="D61" s="2" t="s">
        <v>50</v>
      </c>
      <c r="E61" s="3">
        <v>15</v>
      </c>
      <c r="F61" s="3">
        <v>5</v>
      </c>
      <c r="G61" s="3">
        <v>75</v>
      </c>
      <c r="H61" s="2" t="s">
        <v>80</v>
      </c>
      <c r="I61" s="2" t="s">
        <v>30</v>
      </c>
      <c r="J61" s="2" t="s">
        <v>31</v>
      </c>
      <c r="K61" s="2" t="s">
        <v>23</v>
      </c>
      <c r="L61" t="str">
        <f t="shared" si="0"/>
        <v>Mar</v>
      </c>
    </row>
    <row r="62" spans="1:12" x14ac:dyDescent="0.25">
      <c r="A62" t="s">
        <v>114</v>
      </c>
      <c r="B62" s="1">
        <v>45727</v>
      </c>
      <c r="C62" s="2" t="s">
        <v>65</v>
      </c>
      <c r="D62" s="2" t="s">
        <v>61</v>
      </c>
      <c r="E62" s="3">
        <v>1200</v>
      </c>
      <c r="F62" s="3">
        <v>1</v>
      </c>
      <c r="G62" s="3">
        <v>1200</v>
      </c>
      <c r="H62" s="2" t="s">
        <v>80</v>
      </c>
      <c r="I62" s="2" t="s">
        <v>15</v>
      </c>
      <c r="J62" s="2" t="s">
        <v>39</v>
      </c>
      <c r="K62" s="2" t="s">
        <v>17</v>
      </c>
      <c r="L62" t="str">
        <f t="shared" si="0"/>
        <v>Mar</v>
      </c>
    </row>
    <row r="63" spans="1:12" x14ac:dyDescent="0.25">
      <c r="A63" t="s">
        <v>115</v>
      </c>
      <c r="B63" s="1">
        <v>45698</v>
      </c>
      <c r="C63" s="2" t="s">
        <v>56</v>
      </c>
      <c r="D63" s="2" t="s">
        <v>20</v>
      </c>
      <c r="E63" s="3">
        <v>800</v>
      </c>
      <c r="F63" s="3">
        <v>5</v>
      </c>
      <c r="G63" s="3">
        <v>4000</v>
      </c>
      <c r="H63" s="2" t="s">
        <v>29</v>
      </c>
      <c r="I63" s="2" t="s">
        <v>22</v>
      </c>
      <c r="J63" s="2" t="s">
        <v>39</v>
      </c>
      <c r="K63" s="2" t="s">
        <v>40</v>
      </c>
      <c r="L63" t="str">
        <f t="shared" si="0"/>
        <v>Feb</v>
      </c>
    </row>
    <row r="64" spans="1:12" x14ac:dyDescent="0.25">
      <c r="A64" t="s">
        <v>116</v>
      </c>
      <c r="B64" s="1">
        <v>45746</v>
      </c>
      <c r="C64" s="2" t="s">
        <v>42</v>
      </c>
      <c r="D64" s="2" t="s">
        <v>20</v>
      </c>
      <c r="E64" s="3">
        <v>500</v>
      </c>
      <c r="F64" s="3">
        <v>5</v>
      </c>
      <c r="G64" s="3">
        <v>2500</v>
      </c>
      <c r="H64" s="2" t="s">
        <v>14</v>
      </c>
      <c r="I64" s="2" t="s">
        <v>44</v>
      </c>
      <c r="J64" s="2" t="s">
        <v>58</v>
      </c>
      <c r="K64" s="2" t="s">
        <v>40</v>
      </c>
      <c r="L64" t="str">
        <f t="shared" si="0"/>
        <v>Mar</v>
      </c>
    </row>
    <row r="65" spans="1:12" x14ac:dyDescent="0.25">
      <c r="A65" t="s">
        <v>117</v>
      </c>
      <c r="B65" s="1">
        <v>45701</v>
      </c>
      <c r="C65" s="2" t="s">
        <v>65</v>
      </c>
      <c r="D65" s="2" t="s">
        <v>61</v>
      </c>
      <c r="E65" s="3">
        <v>1200</v>
      </c>
      <c r="F65" s="3">
        <v>4</v>
      </c>
      <c r="G65" s="3">
        <v>4800</v>
      </c>
      <c r="H65" s="2" t="s">
        <v>21</v>
      </c>
      <c r="I65" s="2" t="s">
        <v>26</v>
      </c>
      <c r="J65" s="2" t="s">
        <v>39</v>
      </c>
      <c r="K65" s="2" t="s">
        <v>23</v>
      </c>
      <c r="L65" t="str">
        <f t="shared" si="0"/>
        <v>Feb</v>
      </c>
    </row>
    <row r="66" spans="1:12" x14ac:dyDescent="0.25">
      <c r="A66" t="s">
        <v>118</v>
      </c>
      <c r="B66" s="1">
        <v>45732</v>
      </c>
      <c r="C66" s="2" t="s">
        <v>49</v>
      </c>
      <c r="D66" s="2" t="s">
        <v>50</v>
      </c>
      <c r="E66" s="3">
        <v>15</v>
      </c>
      <c r="F66" s="3">
        <v>3</v>
      </c>
      <c r="G66" s="3">
        <v>45</v>
      </c>
      <c r="H66" s="2" t="s">
        <v>14</v>
      </c>
      <c r="I66" s="2" t="s">
        <v>22</v>
      </c>
      <c r="J66" s="2" t="s">
        <v>27</v>
      </c>
      <c r="K66" s="2" t="s">
        <v>23</v>
      </c>
      <c r="L66" t="str">
        <f t="shared" si="0"/>
        <v>Mar</v>
      </c>
    </row>
    <row r="67" spans="1:12" x14ac:dyDescent="0.25">
      <c r="A67" t="s">
        <v>119</v>
      </c>
      <c r="B67" s="1">
        <v>45730</v>
      </c>
      <c r="C67" s="2" t="s">
        <v>33</v>
      </c>
      <c r="D67" s="2" t="s">
        <v>20</v>
      </c>
      <c r="E67" s="3">
        <v>150</v>
      </c>
      <c r="F67" s="3">
        <v>2</v>
      </c>
      <c r="G67" s="3">
        <v>300</v>
      </c>
      <c r="H67" s="2" t="s">
        <v>54</v>
      </c>
      <c r="I67" s="2" t="s">
        <v>26</v>
      </c>
      <c r="J67" s="2" t="s">
        <v>39</v>
      </c>
      <c r="K67" s="2" t="s">
        <v>23</v>
      </c>
      <c r="L67" t="str">
        <f t="shared" ref="L67:L130" si="1">TEXT(B67,"MMM")</f>
        <v>Mar</v>
      </c>
    </row>
    <row r="68" spans="1:12" x14ac:dyDescent="0.25">
      <c r="A68" t="s">
        <v>120</v>
      </c>
      <c r="B68" s="1">
        <v>45747</v>
      </c>
      <c r="C68" s="2" t="s">
        <v>19</v>
      </c>
      <c r="D68" s="2" t="s">
        <v>20</v>
      </c>
      <c r="E68" s="3">
        <v>100</v>
      </c>
      <c r="F68" s="3">
        <v>3</v>
      </c>
      <c r="G68" s="3">
        <v>300</v>
      </c>
      <c r="H68" s="2" t="s">
        <v>72</v>
      </c>
      <c r="I68" s="2" t="s">
        <v>15</v>
      </c>
      <c r="J68" s="2" t="s">
        <v>16</v>
      </c>
      <c r="K68" s="2" t="s">
        <v>23</v>
      </c>
      <c r="L68" t="str">
        <f t="shared" si="1"/>
        <v>Mar</v>
      </c>
    </row>
    <row r="69" spans="1:12" x14ac:dyDescent="0.25">
      <c r="A69" t="s">
        <v>121</v>
      </c>
      <c r="B69" s="1">
        <v>45711</v>
      </c>
      <c r="C69" s="2" t="s">
        <v>19</v>
      </c>
      <c r="D69" s="2" t="s">
        <v>20</v>
      </c>
      <c r="E69" s="3">
        <v>100</v>
      </c>
      <c r="F69" s="3">
        <v>1</v>
      </c>
      <c r="G69" s="3">
        <v>100</v>
      </c>
      <c r="H69" s="2" t="s">
        <v>51</v>
      </c>
      <c r="I69" s="2" t="s">
        <v>38</v>
      </c>
      <c r="J69" s="2" t="s">
        <v>16</v>
      </c>
      <c r="K69" s="2" t="s">
        <v>17</v>
      </c>
      <c r="L69" t="str">
        <f t="shared" si="1"/>
        <v>Feb</v>
      </c>
    </row>
    <row r="70" spans="1:12" x14ac:dyDescent="0.25">
      <c r="A70" t="s">
        <v>122</v>
      </c>
      <c r="B70" s="1">
        <v>45713</v>
      </c>
      <c r="C70" s="2" t="s">
        <v>65</v>
      </c>
      <c r="D70" s="2" t="s">
        <v>61</v>
      </c>
      <c r="E70" s="3">
        <v>1200</v>
      </c>
      <c r="F70" s="3">
        <v>4</v>
      </c>
      <c r="G70" s="3">
        <v>4800</v>
      </c>
      <c r="H70" s="2" t="s">
        <v>51</v>
      </c>
      <c r="I70" s="2" t="s">
        <v>46</v>
      </c>
      <c r="J70" s="2" t="s">
        <v>58</v>
      </c>
      <c r="K70" s="2" t="s">
        <v>23</v>
      </c>
      <c r="L70" t="str">
        <f t="shared" si="1"/>
        <v>Feb</v>
      </c>
    </row>
    <row r="71" spans="1:12" x14ac:dyDescent="0.25">
      <c r="A71" t="s">
        <v>123</v>
      </c>
      <c r="B71" s="1">
        <v>45726</v>
      </c>
      <c r="C71" s="2" t="s">
        <v>49</v>
      </c>
      <c r="D71" s="2" t="s">
        <v>50</v>
      </c>
      <c r="E71" s="3">
        <v>15</v>
      </c>
      <c r="F71" s="3">
        <v>1</v>
      </c>
      <c r="G71" s="3">
        <v>15</v>
      </c>
      <c r="H71" s="2" t="s">
        <v>21</v>
      </c>
      <c r="I71" s="2" t="s">
        <v>46</v>
      </c>
      <c r="J71" s="2" t="s">
        <v>31</v>
      </c>
      <c r="K71" s="2" t="s">
        <v>40</v>
      </c>
      <c r="L71" t="str">
        <f t="shared" si="1"/>
        <v>Mar</v>
      </c>
    </row>
    <row r="72" spans="1:12" x14ac:dyDescent="0.25">
      <c r="A72" t="s">
        <v>124</v>
      </c>
      <c r="B72" s="1">
        <v>45732</v>
      </c>
      <c r="C72" s="2" t="s">
        <v>33</v>
      </c>
      <c r="D72" s="2" t="s">
        <v>20</v>
      </c>
      <c r="E72" s="3">
        <v>150</v>
      </c>
      <c r="F72" s="3">
        <v>5</v>
      </c>
      <c r="G72" s="3">
        <v>750</v>
      </c>
      <c r="H72" s="2" t="s">
        <v>25</v>
      </c>
      <c r="I72" s="2" t="s">
        <v>26</v>
      </c>
      <c r="J72" s="2" t="s">
        <v>31</v>
      </c>
      <c r="K72" s="2" t="s">
        <v>23</v>
      </c>
      <c r="L72" t="str">
        <f t="shared" si="1"/>
        <v>Mar</v>
      </c>
    </row>
    <row r="73" spans="1:12" x14ac:dyDescent="0.25">
      <c r="A73" t="s">
        <v>125</v>
      </c>
      <c r="B73" s="1">
        <v>45723</v>
      </c>
      <c r="C73" s="2" t="s">
        <v>56</v>
      </c>
      <c r="D73" s="2" t="s">
        <v>20</v>
      </c>
      <c r="E73" s="3">
        <v>800</v>
      </c>
      <c r="F73" s="3">
        <v>3</v>
      </c>
      <c r="G73" s="3">
        <v>2400</v>
      </c>
      <c r="H73" s="2" t="s">
        <v>57</v>
      </c>
      <c r="I73" s="2" t="s">
        <v>38</v>
      </c>
      <c r="J73" s="2" t="s">
        <v>31</v>
      </c>
      <c r="K73" s="2" t="s">
        <v>23</v>
      </c>
      <c r="L73" t="str">
        <f t="shared" si="1"/>
        <v>Mar</v>
      </c>
    </row>
    <row r="74" spans="1:12" x14ac:dyDescent="0.25">
      <c r="A74" t="s">
        <v>126</v>
      </c>
      <c r="B74" s="1">
        <v>45708</v>
      </c>
      <c r="C74" s="2" t="s">
        <v>42</v>
      </c>
      <c r="D74" s="2" t="s">
        <v>20</v>
      </c>
      <c r="E74" s="3">
        <v>500</v>
      </c>
      <c r="F74" s="3">
        <v>5</v>
      </c>
      <c r="G74" s="3">
        <v>2500</v>
      </c>
      <c r="H74" s="2" t="s">
        <v>21</v>
      </c>
      <c r="I74" s="2" t="s">
        <v>44</v>
      </c>
      <c r="J74" s="2" t="s">
        <v>31</v>
      </c>
      <c r="K74" s="2" t="s">
        <v>17</v>
      </c>
      <c r="L74" t="str">
        <f t="shared" si="1"/>
        <v>Feb</v>
      </c>
    </row>
    <row r="75" spans="1:12" x14ac:dyDescent="0.25">
      <c r="A75" t="s">
        <v>127</v>
      </c>
      <c r="B75" s="1">
        <v>45741</v>
      </c>
      <c r="C75" s="2" t="s">
        <v>65</v>
      </c>
      <c r="D75" s="2" t="s">
        <v>61</v>
      </c>
      <c r="E75" s="3">
        <v>1200</v>
      </c>
      <c r="F75" s="3">
        <v>4</v>
      </c>
      <c r="G75" s="3">
        <v>4800</v>
      </c>
      <c r="H75" s="2" t="s">
        <v>80</v>
      </c>
      <c r="I75" s="2" t="s">
        <v>30</v>
      </c>
      <c r="J75" s="2" t="s">
        <v>58</v>
      </c>
      <c r="K75" s="2" t="s">
        <v>17</v>
      </c>
      <c r="L75" t="str">
        <f t="shared" si="1"/>
        <v>Mar</v>
      </c>
    </row>
    <row r="76" spans="1:12" x14ac:dyDescent="0.25">
      <c r="A76" t="s">
        <v>128</v>
      </c>
      <c r="B76" s="1">
        <v>45714</v>
      </c>
      <c r="C76" s="2" t="s">
        <v>19</v>
      </c>
      <c r="D76" s="2" t="s">
        <v>20</v>
      </c>
      <c r="E76" s="3">
        <v>100</v>
      </c>
      <c r="F76" s="3">
        <v>2</v>
      </c>
      <c r="G76" s="3">
        <v>200</v>
      </c>
      <c r="H76" s="2" t="s">
        <v>57</v>
      </c>
      <c r="I76" s="2" t="s">
        <v>46</v>
      </c>
      <c r="J76" s="2" t="s">
        <v>39</v>
      </c>
      <c r="K76" s="2" t="s">
        <v>23</v>
      </c>
      <c r="L76" t="str">
        <f t="shared" si="1"/>
        <v>Feb</v>
      </c>
    </row>
    <row r="77" spans="1:12" x14ac:dyDescent="0.25">
      <c r="A77" t="s">
        <v>129</v>
      </c>
      <c r="B77" s="1">
        <v>45712</v>
      </c>
      <c r="C77" s="2" t="s">
        <v>60</v>
      </c>
      <c r="D77" s="2" t="s">
        <v>61</v>
      </c>
      <c r="E77" s="3">
        <v>600</v>
      </c>
      <c r="F77" s="3">
        <v>1</v>
      </c>
      <c r="G77" s="3">
        <v>600</v>
      </c>
      <c r="H77" s="2" t="s">
        <v>80</v>
      </c>
      <c r="I77" s="2" t="s">
        <v>30</v>
      </c>
      <c r="J77" s="2" t="s">
        <v>27</v>
      </c>
      <c r="K77" s="2" t="s">
        <v>40</v>
      </c>
      <c r="L77" t="str">
        <f t="shared" si="1"/>
        <v>Feb</v>
      </c>
    </row>
    <row r="78" spans="1:12" x14ac:dyDescent="0.25">
      <c r="A78" t="s">
        <v>130</v>
      </c>
      <c r="B78" s="1">
        <v>45736</v>
      </c>
      <c r="C78" s="2" t="s">
        <v>19</v>
      </c>
      <c r="D78" s="2" t="s">
        <v>20</v>
      </c>
      <c r="E78" s="3">
        <v>100</v>
      </c>
      <c r="F78" s="3">
        <v>2</v>
      </c>
      <c r="G78" s="3">
        <v>200</v>
      </c>
      <c r="H78" s="2" t="s">
        <v>57</v>
      </c>
      <c r="I78" s="2" t="s">
        <v>38</v>
      </c>
      <c r="J78" s="2" t="s">
        <v>31</v>
      </c>
      <c r="K78" s="2" t="s">
        <v>40</v>
      </c>
      <c r="L78" t="str">
        <f t="shared" si="1"/>
        <v>Mar</v>
      </c>
    </row>
    <row r="79" spans="1:12" x14ac:dyDescent="0.25">
      <c r="A79" t="s">
        <v>131</v>
      </c>
      <c r="B79" s="1">
        <v>45734</v>
      </c>
      <c r="C79" s="2" t="s">
        <v>33</v>
      </c>
      <c r="D79" s="2" t="s">
        <v>20</v>
      </c>
      <c r="E79" s="3">
        <v>150</v>
      </c>
      <c r="F79" s="3">
        <v>2</v>
      </c>
      <c r="G79" s="3">
        <v>300</v>
      </c>
      <c r="H79" s="2" t="s">
        <v>14</v>
      </c>
      <c r="I79" s="2" t="s">
        <v>68</v>
      </c>
      <c r="J79" s="2" t="s">
        <v>58</v>
      </c>
      <c r="K79" s="2" t="s">
        <v>17</v>
      </c>
      <c r="L79" t="str">
        <f t="shared" si="1"/>
        <v>Mar</v>
      </c>
    </row>
    <row r="80" spans="1:12" x14ac:dyDescent="0.25">
      <c r="A80" t="s">
        <v>132</v>
      </c>
      <c r="B80" s="1">
        <v>45725</v>
      </c>
      <c r="C80" s="2" t="s">
        <v>12</v>
      </c>
      <c r="D80" s="2" t="s">
        <v>13</v>
      </c>
      <c r="E80" s="3">
        <v>60</v>
      </c>
      <c r="F80" s="3">
        <v>2</v>
      </c>
      <c r="G80" s="3">
        <v>120</v>
      </c>
      <c r="H80" s="2" t="s">
        <v>21</v>
      </c>
      <c r="I80" s="2" t="s">
        <v>26</v>
      </c>
      <c r="J80" s="2" t="s">
        <v>58</v>
      </c>
      <c r="K80" s="2" t="s">
        <v>17</v>
      </c>
      <c r="L80" t="str">
        <f t="shared" si="1"/>
        <v>Mar</v>
      </c>
    </row>
    <row r="81" spans="1:12" x14ac:dyDescent="0.25">
      <c r="A81" t="s">
        <v>133</v>
      </c>
      <c r="B81" s="1">
        <v>45711</v>
      </c>
      <c r="C81" s="2" t="s">
        <v>12</v>
      </c>
      <c r="D81" s="2" t="s">
        <v>13</v>
      </c>
      <c r="E81" s="3">
        <v>60</v>
      </c>
      <c r="F81" s="3">
        <v>4</v>
      </c>
      <c r="G81" s="3">
        <v>240</v>
      </c>
      <c r="H81" s="2" t="s">
        <v>43</v>
      </c>
      <c r="I81" s="2" t="s">
        <v>22</v>
      </c>
      <c r="J81" s="2" t="s">
        <v>16</v>
      </c>
      <c r="K81" s="2" t="s">
        <v>23</v>
      </c>
      <c r="L81" t="str">
        <f t="shared" si="1"/>
        <v>Feb</v>
      </c>
    </row>
    <row r="82" spans="1:12" x14ac:dyDescent="0.25">
      <c r="A82" t="s">
        <v>134</v>
      </c>
      <c r="B82" s="1">
        <v>45714</v>
      </c>
      <c r="C82" s="2" t="s">
        <v>19</v>
      </c>
      <c r="D82" s="2" t="s">
        <v>20</v>
      </c>
      <c r="E82" s="3">
        <v>100</v>
      </c>
      <c r="F82" s="3">
        <v>3</v>
      </c>
      <c r="G82" s="3">
        <v>300</v>
      </c>
      <c r="H82" s="2" t="s">
        <v>54</v>
      </c>
      <c r="I82" s="2" t="s">
        <v>81</v>
      </c>
      <c r="J82" s="2" t="s">
        <v>39</v>
      </c>
      <c r="K82" s="2" t="s">
        <v>17</v>
      </c>
      <c r="L82" t="str">
        <f t="shared" si="1"/>
        <v>Feb</v>
      </c>
    </row>
    <row r="83" spans="1:12" x14ac:dyDescent="0.25">
      <c r="A83" t="s">
        <v>135</v>
      </c>
      <c r="B83" s="1">
        <v>45712</v>
      </c>
      <c r="C83" s="2" t="s">
        <v>42</v>
      </c>
      <c r="D83" s="2" t="s">
        <v>20</v>
      </c>
      <c r="E83" s="3">
        <v>500</v>
      </c>
      <c r="F83" s="3">
        <v>3</v>
      </c>
      <c r="G83" s="3">
        <v>1500</v>
      </c>
      <c r="H83" s="2" t="s">
        <v>80</v>
      </c>
      <c r="I83" s="2" t="s">
        <v>63</v>
      </c>
      <c r="J83" s="2" t="s">
        <v>16</v>
      </c>
      <c r="K83" s="2" t="s">
        <v>17</v>
      </c>
      <c r="L83" t="str">
        <f t="shared" si="1"/>
        <v>Feb</v>
      </c>
    </row>
    <row r="84" spans="1:12" x14ac:dyDescent="0.25">
      <c r="A84" t="s">
        <v>136</v>
      </c>
      <c r="B84" s="1">
        <v>45716</v>
      </c>
      <c r="C84" s="2" t="s">
        <v>60</v>
      </c>
      <c r="D84" s="2" t="s">
        <v>61</v>
      </c>
      <c r="E84" s="3">
        <v>600</v>
      </c>
      <c r="F84" s="3">
        <v>4</v>
      </c>
      <c r="G84" s="3">
        <v>2400</v>
      </c>
      <c r="H84" s="2" t="s">
        <v>14</v>
      </c>
      <c r="I84" s="2" t="s">
        <v>38</v>
      </c>
      <c r="J84" s="2" t="s">
        <v>58</v>
      </c>
      <c r="K84" s="2" t="s">
        <v>17</v>
      </c>
      <c r="L84" t="str">
        <f t="shared" si="1"/>
        <v>Feb</v>
      </c>
    </row>
    <row r="85" spans="1:12" x14ac:dyDescent="0.25">
      <c r="A85" t="s">
        <v>137</v>
      </c>
      <c r="B85" s="1">
        <v>45702</v>
      </c>
      <c r="C85" s="2" t="s">
        <v>35</v>
      </c>
      <c r="D85" s="2" t="s">
        <v>36</v>
      </c>
      <c r="E85" s="3">
        <v>20</v>
      </c>
      <c r="F85" s="3">
        <v>5</v>
      </c>
      <c r="G85" s="3">
        <v>100</v>
      </c>
      <c r="H85" s="2" t="s">
        <v>29</v>
      </c>
      <c r="I85" s="2" t="s">
        <v>46</v>
      </c>
      <c r="J85" s="2" t="s">
        <v>39</v>
      </c>
      <c r="K85" s="2" t="s">
        <v>40</v>
      </c>
      <c r="L85" t="str">
        <f t="shared" si="1"/>
        <v>Feb</v>
      </c>
    </row>
    <row r="86" spans="1:12" x14ac:dyDescent="0.25">
      <c r="A86" t="s">
        <v>138</v>
      </c>
      <c r="B86" s="1">
        <v>45694</v>
      </c>
      <c r="C86" s="2" t="s">
        <v>42</v>
      </c>
      <c r="D86" s="2" t="s">
        <v>20</v>
      </c>
      <c r="E86" s="3">
        <v>500</v>
      </c>
      <c r="F86" s="3">
        <v>5</v>
      </c>
      <c r="G86" s="3">
        <v>2500</v>
      </c>
      <c r="H86" s="2" t="s">
        <v>54</v>
      </c>
      <c r="I86" s="2" t="s">
        <v>38</v>
      </c>
      <c r="J86" s="2" t="s">
        <v>39</v>
      </c>
      <c r="K86" s="2" t="s">
        <v>40</v>
      </c>
      <c r="L86" t="str">
        <f t="shared" si="1"/>
        <v>Feb</v>
      </c>
    </row>
    <row r="87" spans="1:12" x14ac:dyDescent="0.25">
      <c r="A87" t="s">
        <v>139</v>
      </c>
      <c r="B87" s="1">
        <v>45713</v>
      </c>
      <c r="C87" s="2" t="s">
        <v>33</v>
      </c>
      <c r="D87" s="2" t="s">
        <v>20</v>
      </c>
      <c r="E87" s="3">
        <v>150</v>
      </c>
      <c r="F87" s="3">
        <v>5</v>
      </c>
      <c r="G87" s="3">
        <v>750</v>
      </c>
      <c r="H87" s="2" t="s">
        <v>80</v>
      </c>
      <c r="I87" s="2" t="s">
        <v>30</v>
      </c>
      <c r="J87" s="2" t="s">
        <v>39</v>
      </c>
      <c r="K87" s="2" t="s">
        <v>17</v>
      </c>
      <c r="L87" t="str">
        <f t="shared" si="1"/>
        <v>Feb</v>
      </c>
    </row>
    <row r="88" spans="1:12" x14ac:dyDescent="0.25">
      <c r="A88" t="s">
        <v>140</v>
      </c>
      <c r="B88" s="1">
        <v>45729</v>
      </c>
      <c r="C88" s="2" t="s">
        <v>12</v>
      </c>
      <c r="D88" s="2" t="s">
        <v>13</v>
      </c>
      <c r="E88" s="3">
        <v>60</v>
      </c>
      <c r="F88" s="3">
        <v>5</v>
      </c>
      <c r="G88" s="3">
        <v>300</v>
      </c>
      <c r="H88" s="2" t="s">
        <v>14</v>
      </c>
      <c r="I88" s="2" t="s">
        <v>44</v>
      </c>
      <c r="J88" s="2" t="s">
        <v>16</v>
      </c>
      <c r="K88" s="2" t="s">
        <v>40</v>
      </c>
      <c r="L88" t="str">
        <f t="shared" si="1"/>
        <v>Mar</v>
      </c>
    </row>
    <row r="89" spans="1:12" x14ac:dyDescent="0.25">
      <c r="A89" t="s">
        <v>141</v>
      </c>
      <c r="B89" s="1">
        <v>45694</v>
      </c>
      <c r="C89" s="2" t="s">
        <v>65</v>
      </c>
      <c r="D89" s="2" t="s">
        <v>61</v>
      </c>
      <c r="E89" s="3">
        <v>1200</v>
      </c>
      <c r="F89" s="3">
        <v>2</v>
      </c>
      <c r="G89" s="3">
        <v>2400</v>
      </c>
      <c r="H89" s="2" t="s">
        <v>72</v>
      </c>
      <c r="I89" s="2" t="s">
        <v>63</v>
      </c>
      <c r="J89" s="2" t="s">
        <v>16</v>
      </c>
      <c r="K89" s="2" t="s">
        <v>23</v>
      </c>
      <c r="L89" t="str">
        <f t="shared" si="1"/>
        <v>Feb</v>
      </c>
    </row>
    <row r="90" spans="1:12" x14ac:dyDescent="0.25">
      <c r="A90" t="s">
        <v>142</v>
      </c>
      <c r="B90" s="1">
        <v>45742</v>
      </c>
      <c r="C90" s="2" t="s">
        <v>12</v>
      </c>
      <c r="D90" s="2" t="s">
        <v>13</v>
      </c>
      <c r="E90" s="3">
        <v>60</v>
      </c>
      <c r="F90" s="3">
        <v>5</v>
      </c>
      <c r="G90" s="3">
        <v>300</v>
      </c>
      <c r="H90" s="2" t="s">
        <v>14</v>
      </c>
      <c r="I90" s="2" t="s">
        <v>68</v>
      </c>
      <c r="J90" s="2" t="s">
        <v>31</v>
      </c>
      <c r="K90" s="2" t="s">
        <v>17</v>
      </c>
      <c r="L90" t="str">
        <f t="shared" si="1"/>
        <v>Mar</v>
      </c>
    </row>
    <row r="91" spans="1:12" x14ac:dyDescent="0.25">
      <c r="A91" t="s">
        <v>143</v>
      </c>
      <c r="B91" s="1">
        <v>45740</v>
      </c>
      <c r="C91" s="2" t="s">
        <v>33</v>
      </c>
      <c r="D91" s="2" t="s">
        <v>20</v>
      </c>
      <c r="E91" s="3">
        <v>150</v>
      </c>
      <c r="F91" s="3">
        <v>5</v>
      </c>
      <c r="G91" s="3">
        <v>750</v>
      </c>
      <c r="H91" s="2" t="s">
        <v>21</v>
      </c>
      <c r="I91" s="2" t="s">
        <v>38</v>
      </c>
      <c r="J91" s="2" t="s">
        <v>27</v>
      </c>
      <c r="K91" s="2" t="s">
        <v>40</v>
      </c>
      <c r="L91" t="str">
        <f t="shared" si="1"/>
        <v>Mar</v>
      </c>
    </row>
    <row r="92" spans="1:12" x14ac:dyDescent="0.25">
      <c r="A92" t="s">
        <v>144</v>
      </c>
      <c r="B92" s="1">
        <v>45691</v>
      </c>
      <c r="C92" s="2" t="s">
        <v>56</v>
      </c>
      <c r="D92" s="2" t="s">
        <v>20</v>
      </c>
      <c r="E92" s="3">
        <v>800</v>
      </c>
      <c r="F92" s="3">
        <v>4</v>
      </c>
      <c r="G92" s="3">
        <v>3200</v>
      </c>
      <c r="H92" s="2" t="s">
        <v>57</v>
      </c>
      <c r="I92" s="2" t="s">
        <v>38</v>
      </c>
      <c r="J92" s="2" t="s">
        <v>58</v>
      </c>
      <c r="K92" s="2" t="s">
        <v>23</v>
      </c>
      <c r="L92" t="str">
        <f t="shared" si="1"/>
        <v>Feb</v>
      </c>
    </row>
    <row r="93" spans="1:12" x14ac:dyDescent="0.25">
      <c r="A93" t="s">
        <v>145</v>
      </c>
      <c r="B93" s="1">
        <v>45731</v>
      </c>
      <c r="C93" s="2" t="s">
        <v>42</v>
      </c>
      <c r="D93" s="2" t="s">
        <v>20</v>
      </c>
      <c r="E93" s="3">
        <v>500</v>
      </c>
      <c r="F93" s="3">
        <v>2</v>
      </c>
      <c r="G93" s="3">
        <v>1000</v>
      </c>
      <c r="H93" s="2" t="s">
        <v>29</v>
      </c>
      <c r="I93" s="2" t="s">
        <v>46</v>
      </c>
      <c r="J93" s="2" t="s">
        <v>39</v>
      </c>
      <c r="K93" s="2" t="s">
        <v>17</v>
      </c>
      <c r="L93" t="str">
        <f t="shared" si="1"/>
        <v>Mar</v>
      </c>
    </row>
    <row r="94" spans="1:12" x14ac:dyDescent="0.25">
      <c r="A94" t="s">
        <v>146</v>
      </c>
      <c r="B94" s="1">
        <v>45722</v>
      </c>
      <c r="C94" s="2" t="s">
        <v>65</v>
      </c>
      <c r="D94" s="2" t="s">
        <v>61</v>
      </c>
      <c r="E94" s="3">
        <v>1200</v>
      </c>
      <c r="F94" s="3">
        <v>5</v>
      </c>
      <c r="G94" s="3">
        <v>6000</v>
      </c>
      <c r="H94" s="2" t="s">
        <v>51</v>
      </c>
      <c r="I94" s="2" t="s">
        <v>26</v>
      </c>
      <c r="J94" s="2" t="s">
        <v>39</v>
      </c>
      <c r="K94" s="2" t="s">
        <v>17</v>
      </c>
      <c r="L94" t="str">
        <f t="shared" si="1"/>
        <v>Mar</v>
      </c>
    </row>
    <row r="95" spans="1:12" x14ac:dyDescent="0.25">
      <c r="A95" t="s">
        <v>147</v>
      </c>
      <c r="B95" s="1">
        <v>45741</v>
      </c>
      <c r="C95" s="2" t="s">
        <v>53</v>
      </c>
      <c r="D95" s="2" t="s">
        <v>36</v>
      </c>
      <c r="E95" s="3">
        <v>40</v>
      </c>
      <c r="F95" s="3">
        <v>5</v>
      </c>
      <c r="G95" s="3">
        <v>200</v>
      </c>
      <c r="H95" s="2" t="s">
        <v>57</v>
      </c>
      <c r="I95" s="2" t="s">
        <v>63</v>
      </c>
      <c r="J95" s="2" t="s">
        <v>31</v>
      </c>
      <c r="K95" s="2" t="s">
        <v>17</v>
      </c>
      <c r="L95" t="str">
        <f t="shared" si="1"/>
        <v>Mar</v>
      </c>
    </row>
    <row r="96" spans="1:12" x14ac:dyDescent="0.25">
      <c r="A96" t="s">
        <v>148</v>
      </c>
      <c r="B96" s="1">
        <v>45705</v>
      </c>
      <c r="C96" s="2" t="s">
        <v>33</v>
      </c>
      <c r="D96" s="2" t="s">
        <v>20</v>
      </c>
      <c r="E96" s="3">
        <v>150</v>
      </c>
      <c r="F96" s="3">
        <v>4</v>
      </c>
      <c r="G96" s="3">
        <v>600</v>
      </c>
      <c r="H96" s="2" t="s">
        <v>72</v>
      </c>
      <c r="I96" s="2" t="s">
        <v>15</v>
      </c>
      <c r="J96" s="2" t="s">
        <v>16</v>
      </c>
      <c r="K96" s="2" t="s">
        <v>17</v>
      </c>
      <c r="L96" t="str">
        <f t="shared" si="1"/>
        <v>Feb</v>
      </c>
    </row>
    <row r="97" spans="1:12" x14ac:dyDescent="0.25">
      <c r="A97" t="s">
        <v>149</v>
      </c>
      <c r="B97" s="1">
        <v>45746</v>
      </c>
      <c r="C97" s="2" t="s">
        <v>33</v>
      </c>
      <c r="D97" s="2" t="s">
        <v>20</v>
      </c>
      <c r="E97" s="3">
        <v>150</v>
      </c>
      <c r="F97" s="3">
        <v>3</v>
      </c>
      <c r="G97" s="3">
        <v>450</v>
      </c>
      <c r="H97" s="2" t="s">
        <v>80</v>
      </c>
      <c r="I97" s="2" t="s">
        <v>15</v>
      </c>
      <c r="J97" s="2" t="s">
        <v>27</v>
      </c>
      <c r="K97" s="2" t="s">
        <v>40</v>
      </c>
      <c r="L97" t="str">
        <f t="shared" si="1"/>
        <v>Mar</v>
      </c>
    </row>
    <row r="98" spans="1:12" x14ac:dyDescent="0.25">
      <c r="A98" t="s">
        <v>150</v>
      </c>
      <c r="B98" s="1">
        <v>45741</v>
      </c>
      <c r="C98" s="2" t="s">
        <v>49</v>
      </c>
      <c r="D98" s="2" t="s">
        <v>50</v>
      </c>
      <c r="E98" s="3">
        <v>15</v>
      </c>
      <c r="F98" s="3">
        <v>5</v>
      </c>
      <c r="G98" s="3">
        <v>75</v>
      </c>
      <c r="H98" s="2" t="s">
        <v>29</v>
      </c>
      <c r="I98" s="2" t="s">
        <v>81</v>
      </c>
      <c r="J98" s="2" t="s">
        <v>27</v>
      </c>
      <c r="K98" s="2" t="s">
        <v>23</v>
      </c>
      <c r="L98" t="str">
        <f t="shared" si="1"/>
        <v>Mar</v>
      </c>
    </row>
    <row r="99" spans="1:12" x14ac:dyDescent="0.25">
      <c r="A99" t="s">
        <v>151</v>
      </c>
      <c r="B99" s="1">
        <v>45702</v>
      </c>
      <c r="C99" s="2" t="s">
        <v>33</v>
      </c>
      <c r="D99" s="2" t="s">
        <v>20</v>
      </c>
      <c r="E99" s="3">
        <v>150</v>
      </c>
      <c r="F99" s="3">
        <v>2</v>
      </c>
      <c r="G99" s="3">
        <v>300</v>
      </c>
      <c r="H99" s="2" t="s">
        <v>72</v>
      </c>
      <c r="I99" s="2" t="s">
        <v>44</v>
      </c>
      <c r="J99" s="2" t="s">
        <v>39</v>
      </c>
      <c r="K99" s="2" t="s">
        <v>23</v>
      </c>
      <c r="L99" t="str">
        <f t="shared" si="1"/>
        <v>Feb</v>
      </c>
    </row>
    <row r="100" spans="1:12" x14ac:dyDescent="0.25">
      <c r="A100" t="s">
        <v>152</v>
      </c>
      <c r="B100" s="1">
        <v>45706</v>
      </c>
      <c r="C100" s="2" t="s">
        <v>60</v>
      </c>
      <c r="D100" s="2" t="s">
        <v>61</v>
      </c>
      <c r="E100" s="3">
        <v>600</v>
      </c>
      <c r="F100" s="3">
        <v>5</v>
      </c>
      <c r="G100" s="3">
        <v>3000</v>
      </c>
      <c r="H100" s="2" t="s">
        <v>54</v>
      </c>
      <c r="I100" s="2" t="s">
        <v>63</v>
      </c>
      <c r="J100" s="2" t="s">
        <v>16</v>
      </c>
      <c r="K100" s="2" t="s">
        <v>40</v>
      </c>
      <c r="L100" t="str">
        <f t="shared" si="1"/>
        <v>Feb</v>
      </c>
    </row>
    <row r="101" spans="1:12" x14ac:dyDescent="0.25">
      <c r="A101" t="s">
        <v>153</v>
      </c>
      <c r="B101" s="1">
        <v>45701</v>
      </c>
      <c r="C101" s="2" t="s">
        <v>12</v>
      </c>
      <c r="D101" s="2" t="s">
        <v>13</v>
      </c>
      <c r="E101" s="3">
        <v>60</v>
      </c>
      <c r="F101" s="3">
        <v>1</v>
      </c>
      <c r="G101" s="3">
        <v>60</v>
      </c>
      <c r="H101" s="2" t="s">
        <v>80</v>
      </c>
      <c r="I101" s="2" t="s">
        <v>38</v>
      </c>
      <c r="J101" s="2" t="s">
        <v>58</v>
      </c>
      <c r="K101" s="2" t="s">
        <v>17</v>
      </c>
      <c r="L101" t="str">
        <f t="shared" si="1"/>
        <v>Feb</v>
      </c>
    </row>
    <row r="102" spans="1:12" x14ac:dyDescent="0.25">
      <c r="A102" t="s">
        <v>154</v>
      </c>
      <c r="B102" s="1">
        <v>45708</v>
      </c>
      <c r="C102" s="2" t="s">
        <v>49</v>
      </c>
      <c r="D102" s="2" t="s">
        <v>50</v>
      </c>
      <c r="E102" s="3">
        <v>15</v>
      </c>
      <c r="F102" s="3">
        <v>5</v>
      </c>
      <c r="G102" s="3">
        <v>75</v>
      </c>
      <c r="H102" s="2" t="s">
        <v>25</v>
      </c>
      <c r="I102" s="2" t="s">
        <v>26</v>
      </c>
      <c r="J102" s="2" t="s">
        <v>39</v>
      </c>
      <c r="K102" s="2" t="s">
        <v>23</v>
      </c>
      <c r="L102" t="str">
        <f t="shared" si="1"/>
        <v>Feb</v>
      </c>
    </row>
    <row r="103" spans="1:12" x14ac:dyDescent="0.25">
      <c r="A103" t="s">
        <v>155</v>
      </c>
      <c r="B103" s="1">
        <v>45716</v>
      </c>
      <c r="C103" s="2" t="s">
        <v>42</v>
      </c>
      <c r="D103" s="2" t="s">
        <v>20</v>
      </c>
      <c r="E103" s="3">
        <v>500</v>
      </c>
      <c r="F103" s="3">
        <v>2</v>
      </c>
      <c r="G103" s="3">
        <v>1000</v>
      </c>
      <c r="H103" s="2" t="s">
        <v>51</v>
      </c>
      <c r="I103" s="2" t="s">
        <v>46</v>
      </c>
      <c r="J103" s="2" t="s">
        <v>39</v>
      </c>
      <c r="K103" s="2" t="s">
        <v>23</v>
      </c>
      <c r="L103" t="str">
        <f t="shared" si="1"/>
        <v>Feb</v>
      </c>
    </row>
    <row r="104" spans="1:12" x14ac:dyDescent="0.25">
      <c r="A104" t="s">
        <v>156</v>
      </c>
      <c r="B104" s="1">
        <v>45730</v>
      </c>
      <c r="C104" s="2" t="s">
        <v>35</v>
      </c>
      <c r="D104" s="2" t="s">
        <v>36</v>
      </c>
      <c r="E104" s="3">
        <v>20</v>
      </c>
      <c r="F104" s="3">
        <v>2</v>
      </c>
      <c r="G104" s="3">
        <v>40</v>
      </c>
      <c r="H104" s="2" t="s">
        <v>54</v>
      </c>
      <c r="I104" s="2" t="s">
        <v>81</v>
      </c>
      <c r="J104" s="2" t="s">
        <v>39</v>
      </c>
      <c r="K104" s="2" t="s">
        <v>23</v>
      </c>
      <c r="L104" t="str">
        <f t="shared" si="1"/>
        <v>Mar</v>
      </c>
    </row>
    <row r="105" spans="1:12" x14ac:dyDescent="0.25">
      <c r="A105" t="s">
        <v>157</v>
      </c>
      <c r="B105" s="1">
        <v>45710</v>
      </c>
      <c r="C105" s="2" t="s">
        <v>53</v>
      </c>
      <c r="D105" s="2" t="s">
        <v>36</v>
      </c>
      <c r="E105" s="3">
        <v>40</v>
      </c>
      <c r="F105" s="3">
        <v>5</v>
      </c>
      <c r="G105" s="3">
        <v>200</v>
      </c>
      <c r="H105" s="2" t="s">
        <v>80</v>
      </c>
      <c r="I105" s="2" t="s">
        <v>30</v>
      </c>
      <c r="J105" s="2" t="s">
        <v>16</v>
      </c>
      <c r="K105" s="2" t="s">
        <v>23</v>
      </c>
      <c r="L105" t="str">
        <f t="shared" si="1"/>
        <v>Feb</v>
      </c>
    </row>
    <row r="106" spans="1:12" x14ac:dyDescent="0.25">
      <c r="A106" t="s">
        <v>158</v>
      </c>
      <c r="B106" s="1">
        <v>45732</v>
      </c>
      <c r="C106" s="2" t="s">
        <v>53</v>
      </c>
      <c r="D106" s="2" t="s">
        <v>36</v>
      </c>
      <c r="E106" s="3">
        <v>40</v>
      </c>
      <c r="F106" s="3">
        <v>1</v>
      </c>
      <c r="G106" s="3">
        <v>40</v>
      </c>
      <c r="H106" s="2" t="s">
        <v>80</v>
      </c>
      <c r="I106" s="2" t="s">
        <v>46</v>
      </c>
      <c r="J106" s="2" t="s">
        <v>16</v>
      </c>
      <c r="K106" s="2" t="s">
        <v>23</v>
      </c>
      <c r="L106" t="str">
        <f t="shared" si="1"/>
        <v>Mar</v>
      </c>
    </row>
    <row r="107" spans="1:12" x14ac:dyDescent="0.25">
      <c r="A107" t="s">
        <v>159</v>
      </c>
      <c r="B107" s="1">
        <v>45731</v>
      </c>
      <c r="C107" s="2" t="s">
        <v>35</v>
      </c>
      <c r="D107" s="2" t="s">
        <v>36</v>
      </c>
      <c r="E107" s="3">
        <v>20</v>
      </c>
      <c r="F107" s="3">
        <v>3</v>
      </c>
      <c r="G107" s="3">
        <v>60</v>
      </c>
      <c r="H107" s="2" t="s">
        <v>29</v>
      </c>
      <c r="I107" s="2" t="s">
        <v>81</v>
      </c>
      <c r="J107" s="2" t="s">
        <v>39</v>
      </c>
      <c r="K107" s="2" t="s">
        <v>23</v>
      </c>
      <c r="L107" t="str">
        <f t="shared" si="1"/>
        <v>Mar</v>
      </c>
    </row>
    <row r="108" spans="1:12" x14ac:dyDescent="0.25">
      <c r="A108" t="s">
        <v>160</v>
      </c>
      <c r="B108" s="1">
        <v>45735</v>
      </c>
      <c r="C108" s="2" t="s">
        <v>53</v>
      </c>
      <c r="D108" s="2" t="s">
        <v>36</v>
      </c>
      <c r="E108" s="3">
        <v>40</v>
      </c>
      <c r="F108" s="3">
        <v>3</v>
      </c>
      <c r="G108" s="3">
        <v>120</v>
      </c>
      <c r="H108" s="2" t="s">
        <v>29</v>
      </c>
      <c r="I108" s="2" t="s">
        <v>30</v>
      </c>
      <c r="J108" s="2" t="s">
        <v>31</v>
      </c>
      <c r="K108" s="2" t="s">
        <v>17</v>
      </c>
      <c r="L108" t="str">
        <f t="shared" si="1"/>
        <v>Mar</v>
      </c>
    </row>
    <row r="109" spans="1:12" x14ac:dyDescent="0.25">
      <c r="A109" t="s">
        <v>161</v>
      </c>
      <c r="B109" s="1">
        <v>45732</v>
      </c>
      <c r="C109" s="2" t="s">
        <v>19</v>
      </c>
      <c r="D109" s="2" t="s">
        <v>20</v>
      </c>
      <c r="E109" s="3">
        <v>100</v>
      </c>
      <c r="F109" s="3">
        <v>2</v>
      </c>
      <c r="G109" s="3">
        <v>200</v>
      </c>
      <c r="H109" s="2" t="s">
        <v>57</v>
      </c>
      <c r="I109" s="2" t="s">
        <v>44</v>
      </c>
      <c r="J109" s="2" t="s">
        <v>39</v>
      </c>
      <c r="K109" s="2" t="s">
        <v>23</v>
      </c>
      <c r="L109" t="str">
        <f t="shared" si="1"/>
        <v>Mar</v>
      </c>
    </row>
    <row r="110" spans="1:12" x14ac:dyDescent="0.25">
      <c r="A110" t="s">
        <v>162</v>
      </c>
      <c r="B110" s="1">
        <v>45733</v>
      </c>
      <c r="C110" s="2" t="s">
        <v>53</v>
      </c>
      <c r="D110" s="2" t="s">
        <v>36</v>
      </c>
      <c r="E110" s="3">
        <v>40</v>
      </c>
      <c r="F110" s="3">
        <v>5</v>
      </c>
      <c r="G110" s="3">
        <v>200</v>
      </c>
      <c r="H110" s="2" t="s">
        <v>54</v>
      </c>
      <c r="I110" s="2" t="s">
        <v>15</v>
      </c>
      <c r="J110" s="2" t="s">
        <v>39</v>
      </c>
      <c r="K110" s="2" t="s">
        <v>40</v>
      </c>
      <c r="L110" t="str">
        <f t="shared" si="1"/>
        <v>Mar</v>
      </c>
    </row>
    <row r="111" spans="1:12" x14ac:dyDescent="0.25">
      <c r="A111" t="s">
        <v>163</v>
      </c>
      <c r="B111" s="1">
        <v>45706</v>
      </c>
      <c r="C111" s="2" t="s">
        <v>42</v>
      </c>
      <c r="D111" s="2" t="s">
        <v>20</v>
      </c>
      <c r="E111" s="3">
        <v>500</v>
      </c>
      <c r="F111" s="3">
        <v>5</v>
      </c>
      <c r="G111" s="3">
        <v>2500</v>
      </c>
      <c r="H111" s="2" t="s">
        <v>29</v>
      </c>
      <c r="I111" s="2" t="s">
        <v>30</v>
      </c>
      <c r="J111" s="2" t="s">
        <v>27</v>
      </c>
      <c r="K111" s="2" t="s">
        <v>23</v>
      </c>
      <c r="L111" t="str">
        <f t="shared" si="1"/>
        <v>Feb</v>
      </c>
    </row>
    <row r="112" spans="1:12" x14ac:dyDescent="0.25">
      <c r="A112" t="s">
        <v>164</v>
      </c>
      <c r="B112" s="1">
        <v>45747</v>
      </c>
      <c r="C112" s="2" t="s">
        <v>56</v>
      </c>
      <c r="D112" s="2" t="s">
        <v>20</v>
      </c>
      <c r="E112" s="3">
        <v>800</v>
      </c>
      <c r="F112" s="3">
        <v>4</v>
      </c>
      <c r="G112" s="3">
        <v>3200</v>
      </c>
      <c r="H112" s="2" t="s">
        <v>14</v>
      </c>
      <c r="I112" s="2" t="s">
        <v>68</v>
      </c>
      <c r="J112" s="2" t="s">
        <v>31</v>
      </c>
      <c r="K112" s="2" t="s">
        <v>40</v>
      </c>
      <c r="L112" t="str">
        <f t="shared" si="1"/>
        <v>Mar</v>
      </c>
    </row>
    <row r="113" spans="1:12" x14ac:dyDescent="0.25">
      <c r="A113" t="s">
        <v>165</v>
      </c>
      <c r="B113" s="1">
        <v>45722</v>
      </c>
      <c r="C113" s="2" t="s">
        <v>60</v>
      </c>
      <c r="D113" s="2" t="s">
        <v>61</v>
      </c>
      <c r="E113" s="3">
        <v>600</v>
      </c>
      <c r="F113" s="3">
        <v>2</v>
      </c>
      <c r="G113" s="3">
        <v>1200</v>
      </c>
      <c r="H113" s="2" t="s">
        <v>51</v>
      </c>
      <c r="I113" s="2" t="s">
        <v>30</v>
      </c>
      <c r="J113" s="2" t="s">
        <v>58</v>
      </c>
      <c r="K113" s="2" t="s">
        <v>17</v>
      </c>
      <c r="L113" t="str">
        <f t="shared" si="1"/>
        <v>Mar</v>
      </c>
    </row>
    <row r="114" spans="1:12" x14ac:dyDescent="0.25">
      <c r="A114" t="s">
        <v>166</v>
      </c>
      <c r="B114" s="1">
        <v>45735</v>
      </c>
      <c r="C114" s="2" t="s">
        <v>49</v>
      </c>
      <c r="D114" s="2" t="s">
        <v>50</v>
      </c>
      <c r="E114" s="3">
        <v>15</v>
      </c>
      <c r="F114" s="3">
        <v>5</v>
      </c>
      <c r="G114" s="3">
        <v>75</v>
      </c>
      <c r="H114" s="2" t="s">
        <v>51</v>
      </c>
      <c r="I114" s="2" t="s">
        <v>22</v>
      </c>
      <c r="J114" s="2" t="s">
        <v>16</v>
      </c>
      <c r="K114" s="2" t="s">
        <v>23</v>
      </c>
      <c r="L114" t="str">
        <f t="shared" si="1"/>
        <v>Mar</v>
      </c>
    </row>
    <row r="115" spans="1:12" x14ac:dyDescent="0.25">
      <c r="A115" t="s">
        <v>167</v>
      </c>
      <c r="B115" s="1">
        <v>45711</v>
      </c>
      <c r="C115" s="2" t="s">
        <v>12</v>
      </c>
      <c r="D115" s="2" t="s">
        <v>13</v>
      </c>
      <c r="E115" s="3">
        <v>60</v>
      </c>
      <c r="F115" s="3">
        <v>1</v>
      </c>
      <c r="G115" s="3">
        <v>60</v>
      </c>
      <c r="H115" s="2" t="s">
        <v>14</v>
      </c>
      <c r="I115" s="2" t="s">
        <v>38</v>
      </c>
      <c r="J115" s="2" t="s">
        <v>31</v>
      </c>
      <c r="K115" s="2" t="s">
        <v>23</v>
      </c>
      <c r="L115" t="str">
        <f t="shared" si="1"/>
        <v>Feb</v>
      </c>
    </row>
    <row r="116" spans="1:12" x14ac:dyDescent="0.25">
      <c r="A116" t="s">
        <v>168</v>
      </c>
      <c r="B116" s="1">
        <v>45737</v>
      </c>
      <c r="C116" s="2" t="s">
        <v>12</v>
      </c>
      <c r="D116" s="2" t="s">
        <v>13</v>
      </c>
      <c r="E116" s="3">
        <v>60</v>
      </c>
      <c r="F116" s="3">
        <v>3</v>
      </c>
      <c r="G116" s="3">
        <v>180</v>
      </c>
      <c r="H116" s="2" t="s">
        <v>29</v>
      </c>
      <c r="I116" s="2" t="s">
        <v>44</v>
      </c>
      <c r="J116" s="2" t="s">
        <v>27</v>
      </c>
      <c r="K116" s="2" t="s">
        <v>40</v>
      </c>
      <c r="L116" t="str">
        <f t="shared" si="1"/>
        <v>Mar</v>
      </c>
    </row>
    <row r="117" spans="1:12" x14ac:dyDescent="0.25">
      <c r="A117" t="s">
        <v>169</v>
      </c>
      <c r="B117" s="1">
        <v>45735</v>
      </c>
      <c r="C117" s="2" t="s">
        <v>56</v>
      </c>
      <c r="D117" s="2" t="s">
        <v>20</v>
      </c>
      <c r="E117" s="3">
        <v>800</v>
      </c>
      <c r="F117" s="3">
        <v>4</v>
      </c>
      <c r="G117" s="3">
        <v>3200</v>
      </c>
      <c r="H117" s="2" t="s">
        <v>14</v>
      </c>
      <c r="I117" s="2" t="s">
        <v>68</v>
      </c>
      <c r="J117" s="2" t="s">
        <v>27</v>
      </c>
      <c r="K117" s="2" t="s">
        <v>40</v>
      </c>
      <c r="L117" t="str">
        <f t="shared" si="1"/>
        <v>Mar</v>
      </c>
    </row>
    <row r="118" spans="1:12" x14ac:dyDescent="0.25">
      <c r="A118" t="s">
        <v>170</v>
      </c>
      <c r="B118" s="1">
        <v>45715</v>
      </c>
      <c r="C118" s="2" t="s">
        <v>35</v>
      </c>
      <c r="D118" s="2" t="s">
        <v>36</v>
      </c>
      <c r="E118" s="3">
        <v>20</v>
      </c>
      <c r="F118" s="3">
        <v>1</v>
      </c>
      <c r="G118" s="3">
        <v>20</v>
      </c>
      <c r="H118" s="2" t="s">
        <v>57</v>
      </c>
      <c r="I118" s="2" t="s">
        <v>15</v>
      </c>
      <c r="J118" s="2" t="s">
        <v>31</v>
      </c>
      <c r="K118" s="2" t="s">
        <v>40</v>
      </c>
      <c r="L118" t="str">
        <f t="shared" si="1"/>
        <v>Feb</v>
      </c>
    </row>
    <row r="119" spans="1:12" x14ac:dyDescent="0.25">
      <c r="A119" t="s">
        <v>171</v>
      </c>
      <c r="B119" s="1">
        <v>45698</v>
      </c>
      <c r="C119" s="2" t="s">
        <v>19</v>
      </c>
      <c r="D119" s="2" t="s">
        <v>20</v>
      </c>
      <c r="E119" s="3">
        <v>100</v>
      </c>
      <c r="F119" s="3">
        <v>5</v>
      </c>
      <c r="G119" s="3">
        <v>500</v>
      </c>
      <c r="H119" s="2" t="s">
        <v>25</v>
      </c>
      <c r="I119" s="2" t="s">
        <v>38</v>
      </c>
      <c r="J119" s="2" t="s">
        <v>27</v>
      </c>
      <c r="K119" s="2" t="s">
        <v>40</v>
      </c>
      <c r="L119" t="str">
        <f t="shared" si="1"/>
        <v>Feb</v>
      </c>
    </row>
    <row r="120" spans="1:12" x14ac:dyDescent="0.25">
      <c r="A120" t="s">
        <v>172</v>
      </c>
      <c r="B120" s="1">
        <v>45732</v>
      </c>
      <c r="C120" s="2" t="s">
        <v>42</v>
      </c>
      <c r="D120" s="2" t="s">
        <v>20</v>
      </c>
      <c r="E120" s="3">
        <v>500</v>
      </c>
      <c r="F120" s="3">
        <v>2</v>
      </c>
      <c r="G120" s="3">
        <v>1000</v>
      </c>
      <c r="H120" s="2" t="s">
        <v>72</v>
      </c>
      <c r="I120" s="2" t="s">
        <v>81</v>
      </c>
      <c r="J120" s="2" t="s">
        <v>39</v>
      </c>
      <c r="K120" s="2" t="s">
        <v>23</v>
      </c>
      <c r="L120" t="str">
        <f t="shared" si="1"/>
        <v>Mar</v>
      </c>
    </row>
    <row r="121" spans="1:12" x14ac:dyDescent="0.25">
      <c r="A121" t="s">
        <v>173</v>
      </c>
      <c r="B121" s="1">
        <v>45704</v>
      </c>
      <c r="C121" s="2" t="s">
        <v>56</v>
      </c>
      <c r="D121" s="2" t="s">
        <v>20</v>
      </c>
      <c r="E121" s="3">
        <v>800</v>
      </c>
      <c r="F121" s="3">
        <v>5</v>
      </c>
      <c r="G121" s="3">
        <v>4000</v>
      </c>
      <c r="H121" s="2" t="s">
        <v>21</v>
      </c>
      <c r="I121" s="2" t="s">
        <v>26</v>
      </c>
      <c r="J121" s="2" t="s">
        <v>39</v>
      </c>
      <c r="K121" s="2" t="s">
        <v>40</v>
      </c>
      <c r="L121" t="str">
        <f t="shared" si="1"/>
        <v>Feb</v>
      </c>
    </row>
    <row r="122" spans="1:12" x14ac:dyDescent="0.25">
      <c r="A122" t="s">
        <v>174</v>
      </c>
      <c r="B122" s="1">
        <v>45706</v>
      </c>
      <c r="C122" s="2" t="s">
        <v>42</v>
      </c>
      <c r="D122" s="2" t="s">
        <v>20</v>
      </c>
      <c r="E122" s="3">
        <v>500</v>
      </c>
      <c r="F122" s="3">
        <v>1</v>
      </c>
      <c r="G122" s="3">
        <v>500</v>
      </c>
      <c r="H122" s="2" t="s">
        <v>25</v>
      </c>
      <c r="I122" s="2" t="s">
        <v>30</v>
      </c>
      <c r="J122" s="2" t="s">
        <v>58</v>
      </c>
      <c r="K122" s="2" t="s">
        <v>23</v>
      </c>
      <c r="L122" t="str">
        <f t="shared" si="1"/>
        <v>Feb</v>
      </c>
    </row>
    <row r="123" spans="1:12" x14ac:dyDescent="0.25">
      <c r="A123" t="s">
        <v>175</v>
      </c>
      <c r="B123" s="1">
        <v>45744</v>
      </c>
      <c r="C123" s="2" t="s">
        <v>56</v>
      </c>
      <c r="D123" s="2" t="s">
        <v>20</v>
      </c>
      <c r="E123" s="3">
        <v>800</v>
      </c>
      <c r="F123" s="3">
        <v>3</v>
      </c>
      <c r="G123" s="3">
        <v>2400</v>
      </c>
      <c r="H123" s="2" t="s">
        <v>25</v>
      </c>
      <c r="I123" s="2" t="s">
        <v>44</v>
      </c>
      <c r="J123" s="2" t="s">
        <v>31</v>
      </c>
      <c r="K123" s="2" t="s">
        <v>17</v>
      </c>
      <c r="L123" t="str">
        <f t="shared" si="1"/>
        <v>Mar</v>
      </c>
    </row>
    <row r="124" spans="1:12" x14ac:dyDescent="0.25">
      <c r="A124" t="s">
        <v>176</v>
      </c>
      <c r="B124" s="1">
        <v>45711</v>
      </c>
      <c r="C124" s="2" t="s">
        <v>49</v>
      </c>
      <c r="D124" s="2" t="s">
        <v>50</v>
      </c>
      <c r="E124" s="3">
        <v>15</v>
      </c>
      <c r="F124" s="3">
        <v>3</v>
      </c>
      <c r="G124" s="3">
        <v>45</v>
      </c>
      <c r="H124" s="2" t="s">
        <v>72</v>
      </c>
      <c r="I124" s="2" t="s">
        <v>46</v>
      </c>
      <c r="J124" s="2" t="s">
        <v>58</v>
      </c>
      <c r="K124" s="2" t="s">
        <v>17</v>
      </c>
      <c r="L124" t="str">
        <f t="shared" si="1"/>
        <v>Feb</v>
      </c>
    </row>
    <row r="125" spans="1:12" x14ac:dyDescent="0.25">
      <c r="A125" t="s">
        <v>177</v>
      </c>
      <c r="B125" s="1">
        <v>45698</v>
      </c>
      <c r="C125" s="2" t="s">
        <v>49</v>
      </c>
      <c r="D125" s="2" t="s">
        <v>50</v>
      </c>
      <c r="E125" s="3">
        <v>15</v>
      </c>
      <c r="F125" s="3">
        <v>1</v>
      </c>
      <c r="G125" s="3">
        <v>15</v>
      </c>
      <c r="H125" s="2" t="s">
        <v>14</v>
      </c>
      <c r="I125" s="2" t="s">
        <v>63</v>
      </c>
      <c r="J125" s="2" t="s">
        <v>58</v>
      </c>
      <c r="K125" s="2" t="s">
        <v>23</v>
      </c>
      <c r="L125" t="str">
        <f t="shared" si="1"/>
        <v>Feb</v>
      </c>
    </row>
    <row r="126" spans="1:12" x14ac:dyDescent="0.25">
      <c r="A126" t="s">
        <v>178</v>
      </c>
      <c r="B126" s="1">
        <v>45711</v>
      </c>
      <c r="C126" s="2" t="s">
        <v>42</v>
      </c>
      <c r="D126" s="2" t="s">
        <v>20</v>
      </c>
      <c r="E126" s="3">
        <v>500</v>
      </c>
      <c r="F126" s="3">
        <v>1</v>
      </c>
      <c r="G126" s="3">
        <v>500</v>
      </c>
      <c r="H126" s="2" t="s">
        <v>21</v>
      </c>
      <c r="I126" s="2" t="s">
        <v>26</v>
      </c>
      <c r="J126" s="2" t="s">
        <v>27</v>
      </c>
      <c r="K126" s="2" t="s">
        <v>40</v>
      </c>
      <c r="L126" t="str">
        <f t="shared" si="1"/>
        <v>Feb</v>
      </c>
    </row>
    <row r="127" spans="1:12" x14ac:dyDescent="0.25">
      <c r="A127" t="s">
        <v>179</v>
      </c>
      <c r="B127" s="1">
        <v>45692</v>
      </c>
      <c r="C127" s="2" t="s">
        <v>65</v>
      </c>
      <c r="D127" s="2" t="s">
        <v>61</v>
      </c>
      <c r="E127" s="3">
        <v>1200</v>
      </c>
      <c r="F127" s="3">
        <v>5</v>
      </c>
      <c r="G127" s="3">
        <v>6000</v>
      </c>
      <c r="H127" s="2" t="s">
        <v>29</v>
      </c>
      <c r="I127" s="2" t="s">
        <v>81</v>
      </c>
      <c r="J127" s="2" t="s">
        <v>58</v>
      </c>
      <c r="K127" s="2" t="s">
        <v>23</v>
      </c>
      <c r="L127" t="str">
        <f t="shared" si="1"/>
        <v>Feb</v>
      </c>
    </row>
    <row r="128" spans="1:12" x14ac:dyDescent="0.25">
      <c r="A128" t="s">
        <v>180</v>
      </c>
      <c r="B128" s="1">
        <v>45706</v>
      </c>
      <c r="C128" s="2" t="s">
        <v>35</v>
      </c>
      <c r="D128" s="2" t="s">
        <v>36</v>
      </c>
      <c r="E128" s="3">
        <v>20</v>
      </c>
      <c r="F128" s="3">
        <v>3</v>
      </c>
      <c r="G128" s="3">
        <v>60</v>
      </c>
      <c r="H128" s="2" t="s">
        <v>14</v>
      </c>
      <c r="I128" s="2" t="s">
        <v>30</v>
      </c>
      <c r="J128" s="2" t="s">
        <v>16</v>
      </c>
      <c r="K128" s="2" t="s">
        <v>40</v>
      </c>
      <c r="L128" t="str">
        <f t="shared" si="1"/>
        <v>Feb</v>
      </c>
    </row>
    <row r="129" spans="1:12" x14ac:dyDescent="0.25">
      <c r="A129" t="s">
        <v>181</v>
      </c>
      <c r="B129" s="1">
        <v>45739</v>
      </c>
      <c r="C129" s="2" t="s">
        <v>33</v>
      </c>
      <c r="D129" s="2" t="s">
        <v>20</v>
      </c>
      <c r="E129" s="3">
        <v>150</v>
      </c>
      <c r="F129" s="3">
        <v>2</v>
      </c>
      <c r="G129" s="3">
        <v>300</v>
      </c>
      <c r="H129" s="2" t="s">
        <v>21</v>
      </c>
      <c r="I129" s="2" t="s">
        <v>30</v>
      </c>
      <c r="J129" s="2" t="s">
        <v>39</v>
      </c>
      <c r="K129" s="2" t="s">
        <v>17</v>
      </c>
      <c r="L129" t="str">
        <f t="shared" si="1"/>
        <v>Mar</v>
      </c>
    </row>
    <row r="130" spans="1:12" x14ac:dyDescent="0.25">
      <c r="A130" t="s">
        <v>182</v>
      </c>
      <c r="B130" s="1">
        <v>45714</v>
      </c>
      <c r="C130" s="2" t="s">
        <v>53</v>
      </c>
      <c r="D130" s="2" t="s">
        <v>36</v>
      </c>
      <c r="E130" s="3">
        <v>40</v>
      </c>
      <c r="F130" s="3">
        <v>5</v>
      </c>
      <c r="G130" s="3">
        <v>200</v>
      </c>
      <c r="H130" s="2" t="s">
        <v>21</v>
      </c>
      <c r="I130" s="2" t="s">
        <v>15</v>
      </c>
      <c r="J130" s="2" t="s">
        <v>16</v>
      </c>
      <c r="K130" s="2" t="s">
        <v>23</v>
      </c>
      <c r="L130" t="str">
        <f t="shared" si="1"/>
        <v>Feb</v>
      </c>
    </row>
    <row r="131" spans="1:12" x14ac:dyDescent="0.25">
      <c r="A131" t="s">
        <v>183</v>
      </c>
      <c r="B131" s="1">
        <v>45698</v>
      </c>
      <c r="C131" s="2" t="s">
        <v>33</v>
      </c>
      <c r="D131" s="2" t="s">
        <v>20</v>
      </c>
      <c r="E131" s="3">
        <v>150</v>
      </c>
      <c r="F131" s="3">
        <v>5</v>
      </c>
      <c r="G131" s="3">
        <v>750</v>
      </c>
      <c r="H131" s="2" t="s">
        <v>51</v>
      </c>
      <c r="I131" s="2" t="s">
        <v>46</v>
      </c>
      <c r="J131" s="2" t="s">
        <v>39</v>
      </c>
      <c r="K131" s="2" t="s">
        <v>40</v>
      </c>
      <c r="L131" t="str">
        <f t="shared" ref="L131:L194" si="2">TEXT(B131,"MMM")</f>
        <v>Feb</v>
      </c>
    </row>
    <row r="132" spans="1:12" x14ac:dyDescent="0.25">
      <c r="A132" t="s">
        <v>184</v>
      </c>
      <c r="B132" s="1">
        <v>45714</v>
      </c>
      <c r="C132" s="2" t="s">
        <v>53</v>
      </c>
      <c r="D132" s="2" t="s">
        <v>36</v>
      </c>
      <c r="E132" s="3">
        <v>40</v>
      </c>
      <c r="F132" s="3">
        <v>2</v>
      </c>
      <c r="G132" s="3">
        <v>80</v>
      </c>
      <c r="H132" s="2" t="s">
        <v>57</v>
      </c>
      <c r="I132" s="2" t="s">
        <v>81</v>
      </c>
      <c r="J132" s="2" t="s">
        <v>31</v>
      </c>
      <c r="K132" s="2" t="s">
        <v>23</v>
      </c>
      <c r="L132" t="str">
        <f t="shared" si="2"/>
        <v>Feb</v>
      </c>
    </row>
    <row r="133" spans="1:12" x14ac:dyDescent="0.25">
      <c r="A133" t="s">
        <v>185</v>
      </c>
      <c r="B133" s="1">
        <v>45723</v>
      </c>
      <c r="C133" s="2" t="s">
        <v>42</v>
      </c>
      <c r="D133" s="2" t="s">
        <v>20</v>
      </c>
      <c r="E133" s="3">
        <v>500</v>
      </c>
      <c r="F133" s="3">
        <v>2</v>
      </c>
      <c r="G133" s="3">
        <v>1000</v>
      </c>
      <c r="H133" s="2" t="s">
        <v>29</v>
      </c>
      <c r="I133" s="2" t="s">
        <v>81</v>
      </c>
      <c r="J133" s="2" t="s">
        <v>16</v>
      </c>
      <c r="K133" s="2" t="s">
        <v>23</v>
      </c>
      <c r="L133" t="str">
        <f t="shared" si="2"/>
        <v>Mar</v>
      </c>
    </row>
    <row r="134" spans="1:12" x14ac:dyDescent="0.25">
      <c r="A134" t="s">
        <v>186</v>
      </c>
      <c r="B134" s="1">
        <v>45711</v>
      </c>
      <c r="C134" s="2" t="s">
        <v>56</v>
      </c>
      <c r="D134" s="2" t="s">
        <v>20</v>
      </c>
      <c r="E134" s="3">
        <v>800</v>
      </c>
      <c r="F134" s="3">
        <v>1</v>
      </c>
      <c r="G134" s="3">
        <v>800</v>
      </c>
      <c r="H134" s="2" t="s">
        <v>21</v>
      </c>
      <c r="I134" s="2" t="s">
        <v>15</v>
      </c>
      <c r="J134" s="2" t="s">
        <v>27</v>
      </c>
      <c r="K134" s="2" t="s">
        <v>23</v>
      </c>
      <c r="L134" t="str">
        <f t="shared" si="2"/>
        <v>Feb</v>
      </c>
    </row>
    <row r="135" spans="1:12" x14ac:dyDescent="0.25">
      <c r="A135" t="s">
        <v>187</v>
      </c>
      <c r="B135" s="1">
        <v>45695</v>
      </c>
      <c r="C135" s="2" t="s">
        <v>42</v>
      </c>
      <c r="D135" s="2" t="s">
        <v>20</v>
      </c>
      <c r="E135" s="3">
        <v>500</v>
      </c>
      <c r="F135" s="3">
        <v>5</v>
      </c>
      <c r="G135" s="3">
        <v>2500</v>
      </c>
      <c r="H135" s="2" t="s">
        <v>51</v>
      </c>
      <c r="I135" s="2" t="s">
        <v>81</v>
      </c>
      <c r="J135" s="2" t="s">
        <v>58</v>
      </c>
      <c r="K135" s="2" t="s">
        <v>23</v>
      </c>
      <c r="L135" t="str">
        <f t="shared" si="2"/>
        <v>Feb</v>
      </c>
    </row>
    <row r="136" spans="1:12" x14ac:dyDescent="0.25">
      <c r="A136" t="s">
        <v>188</v>
      </c>
      <c r="B136" s="1">
        <v>45698</v>
      </c>
      <c r="C136" s="2" t="s">
        <v>35</v>
      </c>
      <c r="D136" s="2" t="s">
        <v>36</v>
      </c>
      <c r="E136" s="3">
        <v>20</v>
      </c>
      <c r="F136" s="3">
        <v>1</v>
      </c>
      <c r="G136" s="3">
        <v>20</v>
      </c>
      <c r="H136" s="2" t="s">
        <v>29</v>
      </c>
      <c r="I136" s="2" t="s">
        <v>44</v>
      </c>
      <c r="J136" s="2" t="s">
        <v>31</v>
      </c>
      <c r="K136" s="2" t="s">
        <v>23</v>
      </c>
      <c r="L136" t="str">
        <f t="shared" si="2"/>
        <v>Feb</v>
      </c>
    </row>
    <row r="137" spans="1:12" x14ac:dyDescent="0.25">
      <c r="A137" t="s">
        <v>189</v>
      </c>
      <c r="B137" s="1">
        <v>45699</v>
      </c>
      <c r="C137" s="2" t="s">
        <v>65</v>
      </c>
      <c r="D137" s="2" t="s">
        <v>61</v>
      </c>
      <c r="E137" s="3">
        <v>1200</v>
      </c>
      <c r="F137" s="3">
        <v>2</v>
      </c>
      <c r="G137" s="3">
        <v>2400</v>
      </c>
      <c r="H137" s="2" t="s">
        <v>57</v>
      </c>
      <c r="I137" s="2" t="s">
        <v>22</v>
      </c>
      <c r="J137" s="2" t="s">
        <v>39</v>
      </c>
      <c r="K137" s="2" t="s">
        <v>17</v>
      </c>
      <c r="L137" t="str">
        <f t="shared" si="2"/>
        <v>Feb</v>
      </c>
    </row>
    <row r="138" spans="1:12" x14ac:dyDescent="0.25">
      <c r="A138" t="s">
        <v>190</v>
      </c>
      <c r="B138" s="1">
        <v>45736</v>
      </c>
      <c r="C138" s="2" t="s">
        <v>33</v>
      </c>
      <c r="D138" s="2" t="s">
        <v>20</v>
      </c>
      <c r="E138" s="3">
        <v>150</v>
      </c>
      <c r="F138" s="3">
        <v>3</v>
      </c>
      <c r="G138" s="3">
        <v>450</v>
      </c>
      <c r="H138" s="2" t="s">
        <v>43</v>
      </c>
      <c r="I138" s="2" t="s">
        <v>22</v>
      </c>
      <c r="J138" s="2" t="s">
        <v>16</v>
      </c>
      <c r="K138" s="2" t="s">
        <v>40</v>
      </c>
      <c r="L138" t="str">
        <f t="shared" si="2"/>
        <v>Mar</v>
      </c>
    </row>
    <row r="139" spans="1:12" x14ac:dyDescent="0.25">
      <c r="A139" t="s">
        <v>191</v>
      </c>
      <c r="B139" s="1">
        <v>45699</v>
      </c>
      <c r="C139" s="2" t="s">
        <v>33</v>
      </c>
      <c r="D139" s="2" t="s">
        <v>20</v>
      </c>
      <c r="E139" s="3">
        <v>150</v>
      </c>
      <c r="F139" s="3">
        <v>5</v>
      </c>
      <c r="G139" s="3">
        <v>750</v>
      </c>
      <c r="H139" s="2" t="s">
        <v>25</v>
      </c>
      <c r="I139" s="2" t="s">
        <v>68</v>
      </c>
      <c r="J139" s="2" t="s">
        <v>31</v>
      </c>
      <c r="K139" s="2" t="s">
        <v>17</v>
      </c>
      <c r="L139" t="str">
        <f t="shared" si="2"/>
        <v>Feb</v>
      </c>
    </row>
    <row r="140" spans="1:12" x14ac:dyDescent="0.25">
      <c r="A140" t="s">
        <v>192</v>
      </c>
      <c r="B140" s="1">
        <v>45734</v>
      </c>
      <c r="C140" s="2" t="s">
        <v>56</v>
      </c>
      <c r="D140" s="2" t="s">
        <v>20</v>
      </c>
      <c r="E140" s="3">
        <v>800</v>
      </c>
      <c r="F140" s="3">
        <v>2</v>
      </c>
      <c r="G140" s="3">
        <v>1600</v>
      </c>
      <c r="H140" s="2" t="s">
        <v>54</v>
      </c>
      <c r="I140" s="2" t="s">
        <v>26</v>
      </c>
      <c r="J140" s="2" t="s">
        <v>39</v>
      </c>
      <c r="K140" s="2" t="s">
        <v>17</v>
      </c>
      <c r="L140" t="str">
        <f t="shared" si="2"/>
        <v>Mar</v>
      </c>
    </row>
    <row r="141" spans="1:12" x14ac:dyDescent="0.25">
      <c r="A141" t="s">
        <v>193</v>
      </c>
      <c r="B141" s="1">
        <v>45735</v>
      </c>
      <c r="C141" s="2" t="s">
        <v>33</v>
      </c>
      <c r="D141" s="2" t="s">
        <v>20</v>
      </c>
      <c r="E141" s="3">
        <v>150</v>
      </c>
      <c r="F141" s="3">
        <v>2</v>
      </c>
      <c r="G141" s="3">
        <v>300</v>
      </c>
      <c r="H141" s="2" t="s">
        <v>29</v>
      </c>
      <c r="I141" s="2" t="s">
        <v>44</v>
      </c>
      <c r="J141" s="2" t="s">
        <v>16</v>
      </c>
      <c r="K141" s="2" t="s">
        <v>40</v>
      </c>
      <c r="L141" t="str">
        <f t="shared" si="2"/>
        <v>Mar</v>
      </c>
    </row>
    <row r="142" spans="1:12" x14ac:dyDescent="0.25">
      <c r="A142" t="s">
        <v>194</v>
      </c>
      <c r="B142" s="1">
        <v>45737</v>
      </c>
      <c r="C142" s="2" t="s">
        <v>42</v>
      </c>
      <c r="D142" s="2" t="s">
        <v>20</v>
      </c>
      <c r="E142" s="3">
        <v>500</v>
      </c>
      <c r="F142" s="3">
        <v>2</v>
      </c>
      <c r="G142" s="3">
        <v>1000</v>
      </c>
      <c r="H142" s="2" t="s">
        <v>25</v>
      </c>
      <c r="I142" s="2" t="s">
        <v>44</v>
      </c>
      <c r="J142" s="2" t="s">
        <v>39</v>
      </c>
      <c r="K142" s="2" t="s">
        <v>40</v>
      </c>
      <c r="L142" t="str">
        <f t="shared" si="2"/>
        <v>Mar</v>
      </c>
    </row>
    <row r="143" spans="1:12" x14ac:dyDescent="0.25">
      <c r="A143" t="s">
        <v>195</v>
      </c>
      <c r="B143" s="1">
        <v>45731</v>
      </c>
      <c r="C143" s="2" t="s">
        <v>42</v>
      </c>
      <c r="D143" s="2" t="s">
        <v>20</v>
      </c>
      <c r="E143" s="3">
        <v>500</v>
      </c>
      <c r="F143" s="3">
        <v>3</v>
      </c>
      <c r="G143" s="3">
        <v>1500</v>
      </c>
      <c r="H143" s="2" t="s">
        <v>43</v>
      </c>
      <c r="I143" s="2" t="s">
        <v>44</v>
      </c>
      <c r="J143" s="2" t="s">
        <v>58</v>
      </c>
      <c r="K143" s="2" t="s">
        <v>40</v>
      </c>
      <c r="L143" t="str">
        <f t="shared" si="2"/>
        <v>Mar</v>
      </c>
    </row>
    <row r="144" spans="1:12" x14ac:dyDescent="0.25">
      <c r="A144" t="s">
        <v>196</v>
      </c>
      <c r="B144" s="1">
        <v>45747</v>
      </c>
      <c r="C144" s="2" t="s">
        <v>65</v>
      </c>
      <c r="D144" s="2" t="s">
        <v>61</v>
      </c>
      <c r="E144" s="3">
        <v>1200</v>
      </c>
      <c r="F144" s="3">
        <v>2</v>
      </c>
      <c r="G144" s="3">
        <v>2400</v>
      </c>
      <c r="H144" s="2" t="s">
        <v>80</v>
      </c>
      <c r="I144" s="2" t="s">
        <v>30</v>
      </c>
      <c r="J144" s="2" t="s">
        <v>39</v>
      </c>
      <c r="K144" s="2" t="s">
        <v>17</v>
      </c>
      <c r="L144" t="str">
        <f t="shared" si="2"/>
        <v>Mar</v>
      </c>
    </row>
    <row r="145" spans="1:12" x14ac:dyDescent="0.25">
      <c r="A145" t="s">
        <v>197</v>
      </c>
      <c r="B145" s="1">
        <v>45715</v>
      </c>
      <c r="C145" s="2" t="s">
        <v>53</v>
      </c>
      <c r="D145" s="2" t="s">
        <v>36</v>
      </c>
      <c r="E145" s="3">
        <v>40</v>
      </c>
      <c r="F145" s="3">
        <v>2</v>
      </c>
      <c r="G145" s="3">
        <v>80</v>
      </c>
      <c r="H145" s="2" t="s">
        <v>54</v>
      </c>
      <c r="I145" s="2" t="s">
        <v>68</v>
      </c>
      <c r="J145" s="2" t="s">
        <v>58</v>
      </c>
      <c r="K145" s="2" t="s">
        <v>17</v>
      </c>
      <c r="L145" t="str">
        <f t="shared" si="2"/>
        <v>Feb</v>
      </c>
    </row>
    <row r="146" spans="1:12" x14ac:dyDescent="0.25">
      <c r="A146" t="s">
        <v>198</v>
      </c>
      <c r="B146" s="1">
        <v>45724</v>
      </c>
      <c r="C146" s="2" t="s">
        <v>33</v>
      </c>
      <c r="D146" s="2" t="s">
        <v>20</v>
      </c>
      <c r="E146" s="3">
        <v>150</v>
      </c>
      <c r="F146" s="3">
        <v>2</v>
      </c>
      <c r="G146" s="3">
        <v>300</v>
      </c>
      <c r="H146" s="2" t="s">
        <v>54</v>
      </c>
      <c r="I146" s="2" t="s">
        <v>63</v>
      </c>
      <c r="J146" s="2" t="s">
        <v>16</v>
      </c>
      <c r="K146" s="2" t="s">
        <v>17</v>
      </c>
      <c r="L146" t="str">
        <f t="shared" si="2"/>
        <v>Mar</v>
      </c>
    </row>
    <row r="147" spans="1:12" x14ac:dyDescent="0.25">
      <c r="A147" t="s">
        <v>199</v>
      </c>
      <c r="B147" s="1">
        <v>45741</v>
      </c>
      <c r="C147" s="2" t="s">
        <v>33</v>
      </c>
      <c r="D147" s="2" t="s">
        <v>20</v>
      </c>
      <c r="E147" s="3">
        <v>150</v>
      </c>
      <c r="F147" s="3">
        <v>2</v>
      </c>
      <c r="G147" s="3">
        <v>300</v>
      </c>
      <c r="H147" s="2" t="s">
        <v>14</v>
      </c>
      <c r="I147" s="2" t="s">
        <v>46</v>
      </c>
      <c r="J147" s="2" t="s">
        <v>16</v>
      </c>
      <c r="K147" s="2" t="s">
        <v>40</v>
      </c>
      <c r="L147" t="str">
        <f t="shared" si="2"/>
        <v>Mar</v>
      </c>
    </row>
    <row r="148" spans="1:12" x14ac:dyDescent="0.25">
      <c r="A148" t="s">
        <v>200</v>
      </c>
      <c r="B148" s="1">
        <v>45693</v>
      </c>
      <c r="C148" s="2" t="s">
        <v>12</v>
      </c>
      <c r="D148" s="2" t="s">
        <v>13</v>
      </c>
      <c r="E148" s="3">
        <v>60</v>
      </c>
      <c r="F148" s="3">
        <v>5</v>
      </c>
      <c r="G148" s="3">
        <v>300</v>
      </c>
      <c r="H148" s="2" t="s">
        <v>80</v>
      </c>
      <c r="I148" s="2" t="s">
        <v>30</v>
      </c>
      <c r="J148" s="2" t="s">
        <v>39</v>
      </c>
      <c r="K148" s="2" t="s">
        <v>23</v>
      </c>
      <c r="L148" t="str">
        <f t="shared" si="2"/>
        <v>Feb</v>
      </c>
    </row>
    <row r="149" spans="1:12" x14ac:dyDescent="0.25">
      <c r="A149" t="s">
        <v>201</v>
      </c>
      <c r="B149" s="1">
        <v>45694</v>
      </c>
      <c r="C149" s="2" t="s">
        <v>19</v>
      </c>
      <c r="D149" s="2" t="s">
        <v>20</v>
      </c>
      <c r="E149" s="3">
        <v>100</v>
      </c>
      <c r="F149" s="3">
        <v>4</v>
      </c>
      <c r="G149" s="3">
        <v>400</v>
      </c>
      <c r="H149" s="2" t="s">
        <v>21</v>
      </c>
      <c r="I149" s="2" t="s">
        <v>68</v>
      </c>
      <c r="J149" s="2" t="s">
        <v>27</v>
      </c>
      <c r="K149" s="2" t="s">
        <v>17</v>
      </c>
      <c r="L149" t="str">
        <f t="shared" si="2"/>
        <v>Feb</v>
      </c>
    </row>
    <row r="150" spans="1:12" x14ac:dyDescent="0.25">
      <c r="A150" t="s">
        <v>202</v>
      </c>
      <c r="B150" s="1">
        <v>45736</v>
      </c>
      <c r="C150" s="2" t="s">
        <v>12</v>
      </c>
      <c r="D150" s="2" t="s">
        <v>13</v>
      </c>
      <c r="E150" s="3">
        <v>60</v>
      </c>
      <c r="F150" s="3">
        <v>3</v>
      </c>
      <c r="G150" s="3">
        <v>180</v>
      </c>
      <c r="H150" s="2" t="s">
        <v>54</v>
      </c>
      <c r="I150" s="2" t="s">
        <v>15</v>
      </c>
      <c r="J150" s="2" t="s">
        <v>58</v>
      </c>
      <c r="K150" s="2" t="s">
        <v>23</v>
      </c>
      <c r="L150" t="str">
        <f t="shared" si="2"/>
        <v>Mar</v>
      </c>
    </row>
    <row r="151" spans="1:12" x14ac:dyDescent="0.25">
      <c r="A151" t="s">
        <v>203</v>
      </c>
      <c r="B151" s="1">
        <v>45696</v>
      </c>
      <c r="C151" s="2" t="s">
        <v>49</v>
      </c>
      <c r="D151" s="2" t="s">
        <v>50</v>
      </c>
      <c r="E151" s="3">
        <v>15</v>
      </c>
      <c r="F151" s="3">
        <v>4</v>
      </c>
      <c r="G151" s="3">
        <v>60</v>
      </c>
      <c r="H151" s="2" t="s">
        <v>57</v>
      </c>
      <c r="I151" s="2" t="s">
        <v>81</v>
      </c>
      <c r="J151" s="2" t="s">
        <v>58</v>
      </c>
      <c r="K151" s="2" t="s">
        <v>17</v>
      </c>
      <c r="L151" t="str">
        <f t="shared" si="2"/>
        <v>Feb</v>
      </c>
    </row>
    <row r="152" spans="1:12" x14ac:dyDescent="0.25">
      <c r="A152" t="s">
        <v>204</v>
      </c>
      <c r="B152" s="1">
        <v>45745</v>
      </c>
      <c r="C152" s="2" t="s">
        <v>60</v>
      </c>
      <c r="D152" s="2" t="s">
        <v>61</v>
      </c>
      <c r="E152" s="3">
        <v>600</v>
      </c>
      <c r="F152" s="3">
        <v>4</v>
      </c>
      <c r="G152" s="3">
        <v>2400</v>
      </c>
      <c r="H152" s="2" t="s">
        <v>80</v>
      </c>
      <c r="I152" s="2" t="s">
        <v>68</v>
      </c>
      <c r="J152" s="2" t="s">
        <v>27</v>
      </c>
      <c r="K152" s="2" t="s">
        <v>23</v>
      </c>
      <c r="L152" t="str">
        <f t="shared" si="2"/>
        <v>Mar</v>
      </c>
    </row>
    <row r="153" spans="1:12" x14ac:dyDescent="0.25">
      <c r="A153" t="s">
        <v>205</v>
      </c>
      <c r="B153" s="1">
        <v>45716</v>
      </c>
      <c r="C153" s="2" t="s">
        <v>33</v>
      </c>
      <c r="D153" s="2" t="s">
        <v>20</v>
      </c>
      <c r="E153" s="3">
        <v>150</v>
      </c>
      <c r="F153" s="3">
        <v>1</v>
      </c>
      <c r="G153" s="3">
        <v>150</v>
      </c>
      <c r="H153" s="2" t="s">
        <v>25</v>
      </c>
      <c r="I153" s="2" t="s">
        <v>63</v>
      </c>
      <c r="J153" s="2" t="s">
        <v>58</v>
      </c>
      <c r="K153" s="2" t="s">
        <v>40</v>
      </c>
      <c r="L153" t="str">
        <f t="shared" si="2"/>
        <v>Feb</v>
      </c>
    </row>
    <row r="154" spans="1:12" x14ac:dyDescent="0.25">
      <c r="A154" t="s">
        <v>206</v>
      </c>
      <c r="B154" s="1">
        <v>45711</v>
      </c>
      <c r="C154" s="2" t="s">
        <v>33</v>
      </c>
      <c r="D154" s="2" t="s">
        <v>20</v>
      </c>
      <c r="E154" s="3">
        <v>150</v>
      </c>
      <c r="F154" s="3">
        <v>5</v>
      </c>
      <c r="G154" s="3">
        <v>750</v>
      </c>
      <c r="H154" s="2" t="s">
        <v>43</v>
      </c>
      <c r="I154" s="2" t="s">
        <v>22</v>
      </c>
      <c r="J154" s="2" t="s">
        <v>39</v>
      </c>
      <c r="K154" s="2" t="s">
        <v>23</v>
      </c>
      <c r="L154" t="str">
        <f t="shared" si="2"/>
        <v>Feb</v>
      </c>
    </row>
    <row r="155" spans="1:12" x14ac:dyDescent="0.25">
      <c r="A155" t="s">
        <v>207</v>
      </c>
      <c r="B155" s="1">
        <v>45717</v>
      </c>
      <c r="C155" s="2" t="s">
        <v>19</v>
      </c>
      <c r="D155" s="2" t="s">
        <v>20</v>
      </c>
      <c r="E155" s="3">
        <v>100</v>
      </c>
      <c r="F155" s="3">
        <v>2</v>
      </c>
      <c r="G155" s="3">
        <v>200</v>
      </c>
      <c r="H155" s="2" t="s">
        <v>25</v>
      </c>
      <c r="I155" s="2" t="s">
        <v>26</v>
      </c>
      <c r="J155" s="2" t="s">
        <v>16</v>
      </c>
      <c r="K155" s="2" t="s">
        <v>40</v>
      </c>
      <c r="L155" t="str">
        <f t="shared" si="2"/>
        <v>Mar</v>
      </c>
    </row>
    <row r="156" spans="1:12" x14ac:dyDescent="0.25">
      <c r="A156" t="s">
        <v>208</v>
      </c>
      <c r="B156" s="1">
        <v>45693</v>
      </c>
      <c r="C156" s="2" t="s">
        <v>65</v>
      </c>
      <c r="D156" s="2" t="s">
        <v>61</v>
      </c>
      <c r="E156" s="3">
        <v>1200</v>
      </c>
      <c r="F156" s="3">
        <v>4</v>
      </c>
      <c r="G156" s="3">
        <v>4800</v>
      </c>
      <c r="H156" s="2" t="s">
        <v>43</v>
      </c>
      <c r="I156" s="2" t="s">
        <v>63</v>
      </c>
      <c r="J156" s="2" t="s">
        <v>31</v>
      </c>
      <c r="K156" s="2" t="s">
        <v>23</v>
      </c>
      <c r="L156" t="str">
        <f t="shared" si="2"/>
        <v>Feb</v>
      </c>
    </row>
    <row r="157" spans="1:12" x14ac:dyDescent="0.25">
      <c r="A157" t="s">
        <v>209</v>
      </c>
      <c r="B157" s="1">
        <v>45732</v>
      </c>
      <c r="C157" s="2" t="s">
        <v>33</v>
      </c>
      <c r="D157" s="2" t="s">
        <v>20</v>
      </c>
      <c r="E157" s="3">
        <v>150</v>
      </c>
      <c r="F157" s="3">
        <v>4</v>
      </c>
      <c r="G157" s="3">
        <v>600</v>
      </c>
      <c r="H157" s="2" t="s">
        <v>29</v>
      </c>
      <c r="I157" s="2" t="s">
        <v>44</v>
      </c>
      <c r="J157" s="2" t="s">
        <v>39</v>
      </c>
      <c r="K157" s="2" t="s">
        <v>17</v>
      </c>
      <c r="L157" t="str">
        <f t="shared" si="2"/>
        <v>Mar</v>
      </c>
    </row>
    <row r="158" spans="1:12" x14ac:dyDescent="0.25">
      <c r="A158" t="s">
        <v>210</v>
      </c>
      <c r="B158" s="1">
        <v>45696</v>
      </c>
      <c r="C158" s="2" t="s">
        <v>42</v>
      </c>
      <c r="D158" s="2" t="s">
        <v>20</v>
      </c>
      <c r="E158" s="3">
        <v>500</v>
      </c>
      <c r="F158" s="3">
        <v>3</v>
      </c>
      <c r="G158" s="3">
        <v>1500</v>
      </c>
      <c r="H158" s="2" t="s">
        <v>43</v>
      </c>
      <c r="I158" s="2" t="s">
        <v>26</v>
      </c>
      <c r="J158" s="2" t="s">
        <v>31</v>
      </c>
      <c r="K158" s="2" t="s">
        <v>23</v>
      </c>
      <c r="L158" t="str">
        <f t="shared" si="2"/>
        <v>Feb</v>
      </c>
    </row>
    <row r="159" spans="1:12" x14ac:dyDescent="0.25">
      <c r="A159" t="s">
        <v>211</v>
      </c>
      <c r="B159" s="1">
        <v>45712</v>
      </c>
      <c r="C159" s="2" t="s">
        <v>56</v>
      </c>
      <c r="D159" s="2" t="s">
        <v>20</v>
      </c>
      <c r="E159" s="3">
        <v>800</v>
      </c>
      <c r="F159" s="3">
        <v>3</v>
      </c>
      <c r="G159" s="3">
        <v>2400</v>
      </c>
      <c r="H159" s="2" t="s">
        <v>72</v>
      </c>
      <c r="I159" s="2" t="s">
        <v>44</v>
      </c>
      <c r="J159" s="2" t="s">
        <v>16</v>
      </c>
      <c r="K159" s="2" t="s">
        <v>23</v>
      </c>
      <c r="L159" t="str">
        <f t="shared" si="2"/>
        <v>Feb</v>
      </c>
    </row>
    <row r="160" spans="1:12" x14ac:dyDescent="0.25">
      <c r="A160" t="s">
        <v>212</v>
      </c>
      <c r="B160" s="1">
        <v>45704</v>
      </c>
      <c r="C160" s="2" t="s">
        <v>35</v>
      </c>
      <c r="D160" s="2" t="s">
        <v>36</v>
      </c>
      <c r="E160" s="3">
        <v>20</v>
      </c>
      <c r="F160" s="3">
        <v>2</v>
      </c>
      <c r="G160" s="3">
        <v>40</v>
      </c>
      <c r="H160" s="2" t="s">
        <v>51</v>
      </c>
      <c r="I160" s="2" t="s">
        <v>30</v>
      </c>
      <c r="J160" s="2" t="s">
        <v>58</v>
      </c>
      <c r="K160" s="2" t="s">
        <v>17</v>
      </c>
      <c r="L160" t="str">
        <f t="shared" si="2"/>
        <v>Feb</v>
      </c>
    </row>
    <row r="161" spans="1:12" x14ac:dyDescent="0.25">
      <c r="A161" t="s">
        <v>213</v>
      </c>
      <c r="B161" s="1">
        <v>45694</v>
      </c>
      <c r="C161" s="2" t="s">
        <v>60</v>
      </c>
      <c r="D161" s="2" t="s">
        <v>61</v>
      </c>
      <c r="E161" s="3">
        <v>600</v>
      </c>
      <c r="F161" s="3">
        <v>3</v>
      </c>
      <c r="G161" s="3">
        <v>1800</v>
      </c>
      <c r="H161" s="2" t="s">
        <v>29</v>
      </c>
      <c r="I161" s="2" t="s">
        <v>26</v>
      </c>
      <c r="J161" s="2" t="s">
        <v>58</v>
      </c>
      <c r="K161" s="2" t="s">
        <v>17</v>
      </c>
      <c r="L161" t="str">
        <f t="shared" si="2"/>
        <v>Feb</v>
      </c>
    </row>
    <row r="162" spans="1:12" x14ac:dyDescent="0.25">
      <c r="A162" t="s">
        <v>214</v>
      </c>
      <c r="B162" s="1">
        <v>45710</v>
      </c>
      <c r="C162" s="2" t="s">
        <v>19</v>
      </c>
      <c r="D162" s="2" t="s">
        <v>20</v>
      </c>
      <c r="E162" s="3">
        <v>100</v>
      </c>
      <c r="F162" s="3">
        <v>1</v>
      </c>
      <c r="G162" s="3">
        <v>100</v>
      </c>
      <c r="H162" s="2" t="s">
        <v>21</v>
      </c>
      <c r="I162" s="2" t="s">
        <v>68</v>
      </c>
      <c r="J162" s="2" t="s">
        <v>31</v>
      </c>
      <c r="K162" s="2" t="s">
        <v>40</v>
      </c>
      <c r="L162" t="str">
        <f t="shared" si="2"/>
        <v>Feb</v>
      </c>
    </row>
    <row r="163" spans="1:12" x14ac:dyDescent="0.25">
      <c r="A163" t="s">
        <v>215</v>
      </c>
      <c r="B163" s="1">
        <v>45697</v>
      </c>
      <c r="C163" s="2" t="s">
        <v>42</v>
      </c>
      <c r="D163" s="2" t="s">
        <v>20</v>
      </c>
      <c r="E163" s="3">
        <v>500</v>
      </c>
      <c r="F163" s="3">
        <v>2</v>
      </c>
      <c r="G163" s="3">
        <v>1000</v>
      </c>
      <c r="H163" s="2" t="s">
        <v>29</v>
      </c>
      <c r="I163" s="2" t="s">
        <v>81</v>
      </c>
      <c r="J163" s="2" t="s">
        <v>31</v>
      </c>
      <c r="K163" s="2" t="s">
        <v>40</v>
      </c>
      <c r="L163" t="str">
        <f t="shared" si="2"/>
        <v>Feb</v>
      </c>
    </row>
    <row r="164" spans="1:12" x14ac:dyDescent="0.25">
      <c r="A164" t="s">
        <v>216</v>
      </c>
      <c r="B164" s="1">
        <v>45708</v>
      </c>
      <c r="C164" s="2" t="s">
        <v>12</v>
      </c>
      <c r="D164" s="2" t="s">
        <v>13</v>
      </c>
      <c r="E164" s="3">
        <v>60</v>
      </c>
      <c r="F164" s="3">
        <v>2</v>
      </c>
      <c r="G164" s="3">
        <v>120</v>
      </c>
      <c r="H164" s="2" t="s">
        <v>72</v>
      </c>
      <c r="I164" s="2" t="s">
        <v>38</v>
      </c>
      <c r="J164" s="2" t="s">
        <v>39</v>
      </c>
      <c r="K164" s="2" t="s">
        <v>40</v>
      </c>
      <c r="L164" t="str">
        <f t="shared" si="2"/>
        <v>Feb</v>
      </c>
    </row>
    <row r="165" spans="1:12" x14ac:dyDescent="0.25">
      <c r="A165" t="s">
        <v>217</v>
      </c>
      <c r="B165" s="1">
        <v>45713</v>
      </c>
      <c r="C165" s="2" t="s">
        <v>33</v>
      </c>
      <c r="D165" s="2" t="s">
        <v>20</v>
      </c>
      <c r="E165" s="3">
        <v>150</v>
      </c>
      <c r="F165" s="3">
        <v>5</v>
      </c>
      <c r="G165" s="3">
        <v>750</v>
      </c>
      <c r="H165" s="2" t="s">
        <v>54</v>
      </c>
      <c r="I165" s="2" t="s">
        <v>46</v>
      </c>
      <c r="J165" s="2" t="s">
        <v>16</v>
      </c>
      <c r="K165" s="2" t="s">
        <v>23</v>
      </c>
      <c r="L165" t="str">
        <f t="shared" si="2"/>
        <v>Feb</v>
      </c>
    </row>
    <row r="166" spans="1:12" x14ac:dyDescent="0.25">
      <c r="A166" t="s">
        <v>218</v>
      </c>
      <c r="B166" s="1">
        <v>45730</v>
      </c>
      <c r="C166" s="2" t="s">
        <v>49</v>
      </c>
      <c r="D166" s="2" t="s">
        <v>50</v>
      </c>
      <c r="E166" s="3">
        <v>15</v>
      </c>
      <c r="F166" s="3">
        <v>1</v>
      </c>
      <c r="G166" s="3">
        <v>15</v>
      </c>
      <c r="H166" s="2" t="s">
        <v>51</v>
      </c>
      <c r="I166" s="2" t="s">
        <v>15</v>
      </c>
      <c r="J166" s="2" t="s">
        <v>27</v>
      </c>
      <c r="K166" s="2" t="s">
        <v>23</v>
      </c>
      <c r="L166" t="str">
        <f t="shared" si="2"/>
        <v>Mar</v>
      </c>
    </row>
    <row r="167" spans="1:12" x14ac:dyDescent="0.25">
      <c r="A167" t="s">
        <v>219</v>
      </c>
      <c r="B167" s="1">
        <v>45746</v>
      </c>
      <c r="C167" s="2" t="s">
        <v>60</v>
      </c>
      <c r="D167" s="2" t="s">
        <v>61</v>
      </c>
      <c r="E167" s="3">
        <v>600</v>
      </c>
      <c r="F167" s="3">
        <v>4</v>
      </c>
      <c r="G167" s="3">
        <v>2400</v>
      </c>
      <c r="H167" s="2" t="s">
        <v>72</v>
      </c>
      <c r="I167" s="2" t="s">
        <v>38</v>
      </c>
      <c r="J167" s="2" t="s">
        <v>31</v>
      </c>
      <c r="K167" s="2" t="s">
        <v>23</v>
      </c>
      <c r="L167" t="str">
        <f t="shared" si="2"/>
        <v>Mar</v>
      </c>
    </row>
    <row r="168" spans="1:12" x14ac:dyDescent="0.25">
      <c r="A168" t="s">
        <v>220</v>
      </c>
      <c r="B168" s="1">
        <v>45736</v>
      </c>
      <c r="C168" s="2" t="s">
        <v>65</v>
      </c>
      <c r="D168" s="2" t="s">
        <v>61</v>
      </c>
      <c r="E168" s="3">
        <v>1200</v>
      </c>
      <c r="F168" s="3">
        <v>2</v>
      </c>
      <c r="G168" s="3">
        <v>2400</v>
      </c>
      <c r="H168" s="2" t="s">
        <v>29</v>
      </c>
      <c r="I168" s="2" t="s">
        <v>63</v>
      </c>
      <c r="J168" s="2" t="s">
        <v>31</v>
      </c>
      <c r="K168" s="2" t="s">
        <v>40</v>
      </c>
      <c r="L168" t="str">
        <f t="shared" si="2"/>
        <v>Mar</v>
      </c>
    </row>
    <row r="169" spans="1:12" x14ac:dyDescent="0.25">
      <c r="A169" t="s">
        <v>221</v>
      </c>
      <c r="B169" s="1">
        <v>45740</v>
      </c>
      <c r="C169" s="2" t="s">
        <v>56</v>
      </c>
      <c r="D169" s="2" t="s">
        <v>20</v>
      </c>
      <c r="E169" s="3">
        <v>800</v>
      </c>
      <c r="F169" s="3">
        <v>5</v>
      </c>
      <c r="G169" s="3">
        <v>4000</v>
      </c>
      <c r="H169" s="2" t="s">
        <v>54</v>
      </c>
      <c r="I169" s="2" t="s">
        <v>44</v>
      </c>
      <c r="J169" s="2" t="s">
        <v>16</v>
      </c>
      <c r="K169" s="2" t="s">
        <v>23</v>
      </c>
      <c r="L169" t="str">
        <f t="shared" si="2"/>
        <v>Mar</v>
      </c>
    </row>
    <row r="170" spans="1:12" x14ac:dyDescent="0.25">
      <c r="A170" t="s">
        <v>222</v>
      </c>
      <c r="B170" s="1">
        <v>45722</v>
      </c>
      <c r="C170" s="2" t="s">
        <v>65</v>
      </c>
      <c r="D170" s="2" t="s">
        <v>61</v>
      </c>
      <c r="E170" s="3">
        <v>1200</v>
      </c>
      <c r="F170" s="3">
        <v>2</v>
      </c>
      <c r="G170" s="3">
        <v>2400</v>
      </c>
      <c r="H170" s="2" t="s">
        <v>25</v>
      </c>
      <c r="I170" s="2" t="s">
        <v>26</v>
      </c>
      <c r="J170" s="2" t="s">
        <v>39</v>
      </c>
      <c r="K170" s="2" t="s">
        <v>40</v>
      </c>
      <c r="L170" t="str">
        <f t="shared" si="2"/>
        <v>Mar</v>
      </c>
    </row>
    <row r="171" spans="1:12" x14ac:dyDescent="0.25">
      <c r="A171" t="s">
        <v>223</v>
      </c>
      <c r="B171" s="1">
        <v>45716</v>
      </c>
      <c r="C171" s="2" t="s">
        <v>56</v>
      </c>
      <c r="D171" s="2" t="s">
        <v>20</v>
      </c>
      <c r="E171" s="3">
        <v>800</v>
      </c>
      <c r="F171" s="3">
        <v>1</v>
      </c>
      <c r="G171" s="3">
        <v>800</v>
      </c>
      <c r="H171" s="2" t="s">
        <v>14</v>
      </c>
      <c r="I171" s="2" t="s">
        <v>22</v>
      </c>
      <c r="J171" s="2" t="s">
        <v>58</v>
      </c>
      <c r="K171" s="2" t="s">
        <v>23</v>
      </c>
      <c r="L171" t="str">
        <f t="shared" si="2"/>
        <v>Feb</v>
      </c>
    </row>
    <row r="172" spans="1:12" x14ac:dyDescent="0.25">
      <c r="A172" t="s">
        <v>224</v>
      </c>
      <c r="B172" s="1">
        <v>45716</v>
      </c>
      <c r="C172" s="2" t="s">
        <v>33</v>
      </c>
      <c r="D172" s="2" t="s">
        <v>20</v>
      </c>
      <c r="E172" s="3">
        <v>150</v>
      </c>
      <c r="F172" s="3">
        <v>2</v>
      </c>
      <c r="G172" s="3">
        <v>300</v>
      </c>
      <c r="H172" s="2" t="s">
        <v>57</v>
      </c>
      <c r="I172" s="2" t="s">
        <v>38</v>
      </c>
      <c r="J172" s="2" t="s">
        <v>39</v>
      </c>
      <c r="K172" s="2" t="s">
        <v>40</v>
      </c>
      <c r="L172" t="str">
        <f t="shared" si="2"/>
        <v>Feb</v>
      </c>
    </row>
    <row r="173" spans="1:12" x14ac:dyDescent="0.25">
      <c r="A173" t="s">
        <v>225</v>
      </c>
      <c r="B173" s="1">
        <v>45728</v>
      </c>
      <c r="C173" s="2" t="s">
        <v>49</v>
      </c>
      <c r="D173" s="2" t="s">
        <v>50</v>
      </c>
      <c r="E173" s="3">
        <v>15</v>
      </c>
      <c r="F173" s="3">
        <v>1</v>
      </c>
      <c r="G173" s="3">
        <v>15</v>
      </c>
      <c r="H173" s="2" t="s">
        <v>51</v>
      </c>
      <c r="I173" s="2" t="s">
        <v>44</v>
      </c>
      <c r="J173" s="2" t="s">
        <v>16</v>
      </c>
      <c r="K173" s="2" t="s">
        <v>17</v>
      </c>
      <c r="L173" t="str">
        <f t="shared" si="2"/>
        <v>Mar</v>
      </c>
    </row>
    <row r="174" spans="1:12" x14ac:dyDescent="0.25">
      <c r="A174" t="s">
        <v>226</v>
      </c>
      <c r="B174" s="1">
        <v>45716</v>
      </c>
      <c r="C174" s="2" t="s">
        <v>65</v>
      </c>
      <c r="D174" s="2" t="s">
        <v>61</v>
      </c>
      <c r="E174" s="3">
        <v>1200</v>
      </c>
      <c r="F174" s="3">
        <v>1</v>
      </c>
      <c r="G174" s="3">
        <v>1200</v>
      </c>
      <c r="H174" s="2" t="s">
        <v>29</v>
      </c>
      <c r="I174" s="2" t="s">
        <v>63</v>
      </c>
      <c r="J174" s="2" t="s">
        <v>39</v>
      </c>
      <c r="K174" s="2" t="s">
        <v>40</v>
      </c>
      <c r="L174" t="str">
        <f t="shared" si="2"/>
        <v>Feb</v>
      </c>
    </row>
    <row r="175" spans="1:12" x14ac:dyDescent="0.25">
      <c r="A175" t="s">
        <v>227</v>
      </c>
      <c r="B175" s="1">
        <v>45729</v>
      </c>
      <c r="C175" s="2" t="s">
        <v>33</v>
      </c>
      <c r="D175" s="2" t="s">
        <v>20</v>
      </c>
      <c r="E175" s="3">
        <v>150</v>
      </c>
      <c r="F175" s="3">
        <v>2</v>
      </c>
      <c r="G175" s="3">
        <v>300</v>
      </c>
      <c r="H175" s="2" t="s">
        <v>51</v>
      </c>
      <c r="I175" s="2" t="s">
        <v>81</v>
      </c>
      <c r="J175" s="2" t="s">
        <v>16</v>
      </c>
      <c r="K175" s="2" t="s">
        <v>23</v>
      </c>
      <c r="L175" t="str">
        <f t="shared" si="2"/>
        <v>Mar</v>
      </c>
    </row>
    <row r="176" spans="1:12" x14ac:dyDescent="0.25">
      <c r="A176" t="s">
        <v>228</v>
      </c>
      <c r="B176" s="1">
        <v>45740</v>
      </c>
      <c r="C176" s="2" t="s">
        <v>53</v>
      </c>
      <c r="D176" s="2" t="s">
        <v>36</v>
      </c>
      <c r="E176" s="3">
        <v>40</v>
      </c>
      <c r="F176" s="3">
        <v>5</v>
      </c>
      <c r="G176" s="3">
        <v>200</v>
      </c>
      <c r="H176" s="2" t="s">
        <v>51</v>
      </c>
      <c r="I176" s="2" t="s">
        <v>15</v>
      </c>
      <c r="J176" s="2" t="s">
        <v>16</v>
      </c>
      <c r="K176" s="2" t="s">
        <v>17</v>
      </c>
      <c r="L176" t="str">
        <f t="shared" si="2"/>
        <v>Mar</v>
      </c>
    </row>
    <row r="177" spans="1:12" x14ac:dyDescent="0.25">
      <c r="A177" t="s">
        <v>229</v>
      </c>
      <c r="B177" s="1">
        <v>45743</v>
      </c>
      <c r="C177" s="2" t="s">
        <v>49</v>
      </c>
      <c r="D177" s="2" t="s">
        <v>50</v>
      </c>
      <c r="E177" s="3">
        <v>15</v>
      </c>
      <c r="F177" s="3">
        <v>1</v>
      </c>
      <c r="G177" s="3">
        <v>15</v>
      </c>
      <c r="H177" s="2" t="s">
        <v>54</v>
      </c>
      <c r="I177" s="2" t="s">
        <v>46</v>
      </c>
      <c r="J177" s="2" t="s">
        <v>27</v>
      </c>
      <c r="K177" s="2" t="s">
        <v>40</v>
      </c>
      <c r="L177" t="str">
        <f t="shared" si="2"/>
        <v>Mar</v>
      </c>
    </row>
    <row r="178" spans="1:12" x14ac:dyDescent="0.25">
      <c r="A178" t="s">
        <v>230</v>
      </c>
      <c r="B178" s="1">
        <v>45730</v>
      </c>
      <c r="C178" s="2" t="s">
        <v>49</v>
      </c>
      <c r="D178" s="2" t="s">
        <v>50</v>
      </c>
      <c r="E178" s="3">
        <v>15</v>
      </c>
      <c r="F178" s="3">
        <v>5</v>
      </c>
      <c r="G178" s="3">
        <v>75</v>
      </c>
      <c r="H178" s="2" t="s">
        <v>51</v>
      </c>
      <c r="I178" s="2" t="s">
        <v>22</v>
      </c>
      <c r="J178" s="2" t="s">
        <v>31</v>
      </c>
      <c r="K178" s="2" t="s">
        <v>23</v>
      </c>
      <c r="L178" t="str">
        <f t="shared" si="2"/>
        <v>Mar</v>
      </c>
    </row>
    <row r="179" spans="1:12" x14ac:dyDescent="0.25">
      <c r="A179" t="s">
        <v>231</v>
      </c>
      <c r="B179" s="1">
        <v>45694</v>
      </c>
      <c r="C179" s="2" t="s">
        <v>42</v>
      </c>
      <c r="D179" s="2" t="s">
        <v>20</v>
      </c>
      <c r="E179" s="3">
        <v>500</v>
      </c>
      <c r="F179" s="3">
        <v>3</v>
      </c>
      <c r="G179" s="3">
        <v>1500</v>
      </c>
      <c r="H179" s="2" t="s">
        <v>21</v>
      </c>
      <c r="I179" s="2" t="s">
        <v>81</v>
      </c>
      <c r="J179" s="2" t="s">
        <v>39</v>
      </c>
      <c r="K179" s="2" t="s">
        <v>40</v>
      </c>
      <c r="L179" t="str">
        <f t="shared" si="2"/>
        <v>Feb</v>
      </c>
    </row>
    <row r="180" spans="1:12" x14ac:dyDescent="0.25">
      <c r="A180" t="s">
        <v>232</v>
      </c>
      <c r="B180" s="1">
        <v>45741</v>
      </c>
      <c r="C180" s="2" t="s">
        <v>53</v>
      </c>
      <c r="D180" s="2" t="s">
        <v>36</v>
      </c>
      <c r="E180" s="3">
        <v>40</v>
      </c>
      <c r="F180" s="3">
        <v>1</v>
      </c>
      <c r="G180" s="3">
        <v>40</v>
      </c>
      <c r="H180" s="2" t="s">
        <v>29</v>
      </c>
      <c r="I180" s="2" t="s">
        <v>63</v>
      </c>
      <c r="J180" s="2" t="s">
        <v>39</v>
      </c>
      <c r="K180" s="2" t="s">
        <v>17</v>
      </c>
      <c r="L180" t="str">
        <f t="shared" si="2"/>
        <v>Mar</v>
      </c>
    </row>
    <row r="181" spans="1:12" x14ac:dyDescent="0.25">
      <c r="A181" t="s">
        <v>233</v>
      </c>
      <c r="B181" s="1">
        <v>45720</v>
      </c>
      <c r="C181" s="2" t="s">
        <v>65</v>
      </c>
      <c r="D181" s="2" t="s">
        <v>61</v>
      </c>
      <c r="E181" s="3">
        <v>1200</v>
      </c>
      <c r="F181" s="3">
        <v>3</v>
      </c>
      <c r="G181" s="3">
        <v>3600</v>
      </c>
      <c r="H181" s="2" t="s">
        <v>51</v>
      </c>
      <c r="I181" s="2" t="s">
        <v>46</v>
      </c>
      <c r="J181" s="2" t="s">
        <v>58</v>
      </c>
      <c r="K181" s="2" t="s">
        <v>40</v>
      </c>
      <c r="L181" t="str">
        <f t="shared" si="2"/>
        <v>Mar</v>
      </c>
    </row>
    <row r="182" spans="1:12" x14ac:dyDescent="0.25">
      <c r="A182" t="s">
        <v>234</v>
      </c>
      <c r="B182" s="1">
        <v>45719</v>
      </c>
      <c r="C182" s="2" t="s">
        <v>12</v>
      </c>
      <c r="D182" s="2" t="s">
        <v>13</v>
      </c>
      <c r="E182" s="3">
        <v>60</v>
      </c>
      <c r="F182" s="3">
        <v>2</v>
      </c>
      <c r="G182" s="3">
        <v>120</v>
      </c>
      <c r="H182" s="2" t="s">
        <v>51</v>
      </c>
      <c r="I182" s="2" t="s">
        <v>68</v>
      </c>
      <c r="J182" s="2" t="s">
        <v>16</v>
      </c>
      <c r="K182" s="2" t="s">
        <v>17</v>
      </c>
      <c r="L182" t="str">
        <f t="shared" si="2"/>
        <v>Mar</v>
      </c>
    </row>
    <row r="183" spans="1:12" x14ac:dyDescent="0.25">
      <c r="A183" t="s">
        <v>235</v>
      </c>
      <c r="B183" s="1">
        <v>45749</v>
      </c>
      <c r="C183" s="2" t="s">
        <v>35</v>
      </c>
      <c r="D183" s="2" t="s">
        <v>36</v>
      </c>
      <c r="E183" s="3">
        <v>20</v>
      </c>
      <c r="F183" s="3">
        <v>5</v>
      </c>
      <c r="G183" s="3">
        <v>100</v>
      </c>
      <c r="H183" s="2" t="s">
        <v>14</v>
      </c>
      <c r="I183" s="2" t="s">
        <v>26</v>
      </c>
      <c r="J183" s="2" t="s">
        <v>39</v>
      </c>
      <c r="K183" s="2" t="s">
        <v>40</v>
      </c>
      <c r="L183" t="str">
        <f t="shared" si="2"/>
        <v>Apr</v>
      </c>
    </row>
    <row r="184" spans="1:12" x14ac:dyDescent="0.25">
      <c r="A184" t="s">
        <v>236</v>
      </c>
      <c r="B184" s="1">
        <v>45741</v>
      </c>
      <c r="C184" s="2" t="s">
        <v>60</v>
      </c>
      <c r="D184" s="2" t="s">
        <v>61</v>
      </c>
      <c r="E184" s="3">
        <v>600</v>
      </c>
      <c r="F184" s="3">
        <v>1</v>
      </c>
      <c r="G184" s="3">
        <v>600</v>
      </c>
      <c r="H184" s="2" t="s">
        <v>14</v>
      </c>
      <c r="I184" s="2" t="s">
        <v>63</v>
      </c>
      <c r="J184" s="2" t="s">
        <v>16</v>
      </c>
      <c r="K184" s="2" t="s">
        <v>23</v>
      </c>
      <c r="L184" t="str">
        <f t="shared" si="2"/>
        <v>Mar</v>
      </c>
    </row>
    <row r="185" spans="1:12" x14ac:dyDescent="0.25">
      <c r="A185" t="s">
        <v>237</v>
      </c>
      <c r="B185" s="1">
        <v>45705</v>
      </c>
      <c r="C185" s="2" t="s">
        <v>49</v>
      </c>
      <c r="D185" s="2" t="s">
        <v>50</v>
      </c>
      <c r="E185" s="3">
        <v>15</v>
      </c>
      <c r="F185" s="3">
        <v>5</v>
      </c>
      <c r="G185" s="3">
        <v>75</v>
      </c>
      <c r="H185" s="2" t="s">
        <v>57</v>
      </c>
      <c r="I185" s="2" t="s">
        <v>44</v>
      </c>
      <c r="J185" s="2" t="s">
        <v>16</v>
      </c>
      <c r="K185" s="2" t="s">
        <v>23</v>
      </c>
      <c r="L185" t="str">
        <f t="shared" si="2"/>
        <v>Feb</v>
      </c>
    </row>
    <row r="186" spans="1:12" x14ac:dyDescent="0.25">
      <c r="A186" t="s">
        <v>238</v>
      </c>
      <c r="B186" s="1">
        <v>45738</v>
      </c>
      <c r="C186" s="2" t="s">
        <v>35</v>
      </c>
      <c r="D186" s="2" t="s">
        <v>36</v>
      </c>
      <c r="E186" s="3">
        <v>20</v>
      </c>
      <c r="F186" s="3">
        <v>1</v>
      </c>
      <c r="G186" s="3">
        <v>20</v>
      </c>
      <c r="H186" s="2" t="s">
        <v>72</v>
      </c>
      <c r="I186" s="2" t="s">
        <v>30</v>
      </c>
      <c r="J186" s="2" t="s">
        <v>16</v>
      </c>
      <c r="K186" s="2" t="s">
        <v>40</v>
      </c>
      <c r="L186" t="str">
        <f t="shared" si="2"/>
        <v>Mar</v>
      </c>
    </row>
    <row r="187" spans="1:12" x14ac:dyDescent="0.25">
      <c r="A187" t="s">
        <v>239</v>
      </c>
      <c r="B187" s="1">
        <v>45718</v>
      </c>
      <c r="C187" s="2" t="s">
        <v>60</v>
      </c>
      <c r="D187" s="2" t="s">
        <v>61</v>
      </c>
      <c r="E187" s="3">
        <v>600</v>
      </c>
      <c r="F187" s="3">
        <v>4</v>
      </c>
      <c r="G187" s="3">
        <v>2400</v>
      </c>
      <c r="H187" s="2" t="s">
        <v>54</v>
      </c>
      <c r="I187" s="2" t="s">
        <v>15</v>
      </c>
      <c r="J187" s="2" t="s">
        <v>39</v>
      </c>
      <c r="K187" s="2" t="s">
        <v>40</v>
      </c>
      <c r="L187" t="str">
        <f t="shared" si="2"/>
        <v>Mar</v>
      </c>
    </row>
    <row r="188" spans="1:12" x14ac:dyDescent="0.25">
      <c r="A188" t="s">
        <v>240</v>
      </c>
      <c r="B188" s="1">
        <v>45729</v>
      </c>
      <c r="C188" s="2" t="s">
        <v>56</v>
      </c>
      <c r="D188" s="2" t="s">
        <v>20</v>
      </c>
      <c r="E188" s="3">
        <v>800</v>
      </c>
      <c r="F188" s="3">
        <v>3</v>
      </c>
      <c r="G188" s="3">
        <v>2400</v>
      </c>
      <c r="H188" s="2" t="s">
        <v>25</v>
      </c>
      <c r="I188" s="2" t="s">
        <v>15</v>
      </c>
      <c r="J188" s="2" t="s">
        <v>39</v>
      </c>
      <c r="K188" s="2" t="s">
        <v>23</v>
      </c>
      <c r="L188" t="str">
        <f t="shared" si="2"/>
        <v>Mar</v>
      </c>
    </row>
    <row r="189" spans="1:12" x14ac:dyDescent="0.25">
      <c r="A189" t="s">
        <v>241</v>
      </c>
      <c r="B189" s="1">
        <v>45702</v>
      </c>
      <c r="C189" s="2" t="s">
        <v>49</v>
      </c>
      <c r="D189" s="2" t="s">
        <v>50</v>
      </c>
      <c r="E189" s="3">
        <v>15</v>
      </c>
      <c r="F189" s="3">
        <v>1</v>
      </c>
      <c r="G189" s="3">
        <v>15</v>
      </c>
      <c r="H189" s="2" t="s">
        <v>25</v>
      </c>
      <c r="I189" s="2" t="s">
        <v>46</v>
      </c>
      <c r="J189" s="2" t="s">
        <v>27</v>
      </c>
      <c r="K189" s="2" t="s">
        <v>40</v>
      </c>
      <c r="L189" t="str">
        <f t="shared" si="2"/>
        <v>Feb</v>
      </c>
    </row>
    <row r="190" spans="1:12" x14ac:dyDescent="0.25">
      <c r="A190" t="s">
        <v>242</v>
      </c>
      <c r="B190" s="1">
        <v>45698</v>
      </c>
      <c r="C190" s="2" t="s">
        <v>56</v>
      </c>
      <c r="D190" s="2" t="s">
        <v>20</v>
      </c>
      <c r="E190" s="3">
        <v>800</v>
      </c>
      <c r="F190" s="3">
        <v>3</v>
      </c>
      <c r="G190" s="3">
        <v>2400</v>
      </c>
      <c r="H190" s="2" t="s">
        <v>80</v>
      </c>
      <c r="I190" s="2" t="s">
        <v>38</v>
      </c>
      <c r="J190" s="2" t="s">
        <v>27</v>
      </c>
      <c r="K190" s="2" t="s">
        <v>40</v>
      </c>
      <c r="L190" t="str">
        <f t="shared" si="2"/>
        <v>Feb</v>
      </c>
    </row>
    <row r="191" spans="1:12" x14ac:dyDescent="0.25">
      <c r="A191" t="s">
        <v>243</v>
      </c>
      <c r="B191" s="1">
        <v>45711</v>
      </c>
      <c r="C191" s="2" t="s">
        <v>12</v>
      </c>
      <c r="D191" s="2" t="s">
        <v>13</v>
      </c>
      <c r="E191" s="3">
        <v>60</v>
      </c>
      <c r="F191" s="3">
        <v>1</v>
      </c>
      <c r="G191" s="3">
        <v>60</v>
      </c>
      <c r="H191" s="2" t="s">
        <v>43</v>
      </c>
      <c r="I191" s="2" t="s">
        <v>38</v>
      </c>
      <c r="J191" s="2" t="s">
        <v>39</v>
      </c>
      <c r="K191" s="2" t="s">
        <v>40</v>
      </c>
      <c r="L191" t="str">
        <f t="shared" si="2"/>
        <v>Feb</v>
      </c>
    </row>
    <row r="192" spans="1:12" x14ac:dyDescent="0.25">
      <c r="A192" t="s">
        <v>244</v>
      </c>
      <c r="B192" s="1">
        <v>45716</v>
      </c>
      <c r="C192" s="2" t="s">
        <v>53</v>
      </c>
      <c r="D192" s="2" t="s">
        <v>36</v>
      </c>
      <c r="E192" s="3">
        <v>40</v>
      </c>
      <c r="F192" s="3">
        <v>4</v>
      </c>
      <c r="G192" s="3">
        <v>160</v>
      </c>
      <c r="H192" s="2" t="s">
        <v>25</v>
      </c>
      <c r="I192" s="2" t="s">
        <v>63</v>
      </c>
      <c r="J192" s="2" t="s">
        <v>27</v>
      </c>
      <c r="K192" s="2" t="s">
        <v>23</v>
      </c>
      <c r="L192" t="str">
        <f t="shared" si="2"/>
        <v>Feb</v>
      </c>
    </row>
    <row r="193" spans="1:12" x14ac:dyDescent="0.25">
      <c r="A193" t="s">
        <v>245</v>
      </c>
      <c r="B193" s="1">
        <v>45747</v>
      </c>
      <c r="C193" s="2" t="s">
        <v>19</v>
      </c>
      <c r="D193" s="2" t="s">
        <v>20</v>
      </c>
      <c r="E193" s="3">
        <v>100</v>
      </c>
      <c r="F193" s="3">
        <v>3</v>
      </c>
      <c r="G193" s="3">
        <v>300</v>
      </c>
      <c r="H193" s="2" t="s">
        <v>43</v>
      </c>
      <c r="I193" s="2" t="s">
        <v>30</v>
      </c>
      <c r="J193" s="2" t="s">
        <v>58</v>
      </c>
      <c r="K193" s="2" t="s">
        <v>23</v>
      </c>
      <c r="L193" t="str">
        <f t="shared" si="2"/>
        <v>Mar</v>
      </c>
    </row>
    <row r="194" spans="1:12" x14ac:dyDescent="0.25">
      <c r="A194" t="s">
        <v>246</v>
      </c>
      <c r="B194" s="1">
        <v>45746</v>
      </c>
      <c r="C194" s="2" t="s">
        <v>49</v>
      </c>
      <c r="D194" s="2" t="s">
        <v>50</v>
      </c>
      <c r="E194" s="3">
        <v>15</v>
      </c>
      <c r="F194" s="3">
        <v>5</v>
      </c>
      <c r="G194" s="3">
        <v>75</v>
      </c>
      <c r="H194" s="2" t="s">
        <v>51</v>
      </c>
      <c r="I194" s="2" t="s">
        <v>81</v>
      </c>
      <c r="J194" s="2" t="s">
        <v>27</v>
      </c>
      <c r="K194" s="2" t="s">
        <v>23</v>
      </c>
      <c r="L194" t="str">
        <f t="shared" si="2"/>
        <v>Mar</v>
      </c>
    </row>
    <row r="195" spans="1:12" x14ac:dyDescent="0.25">
      <c r="A195" t="s">
        <v>247</v>
      </c>
      <c r="B195" s="1">
        <v>45708</v>
      </c>
      <c r="C195" s="2" t="s">
        <v>53</v>
      </c>
      <c r="D195" s="2" t="s">
        <v>36</v>
      </c>
      <c r="E195" s="3">
        <v>40</v>
      </c>
      <c r="F195" s="3">
        <v>4</v>
      </c>
      <c r="G195" s="3">
        <v>160</v>
      </c>
      <c r="H195" s="2" t="s">
        <v>25</v>
      </c>
      <c r="I195" s="2" t="s">
        <v>22</v>
      </c>
      <c r="J195" s="2" t="s">
        <v>16</v>
      </c>
      <c r="K195" s="2" t="s">
        <v>17</v>
      </c>
      <c r="L195" t="str">
        <f t="shared" ref="L195:L251" si="3">TEXT(B195,"MMM")</f>
        <v>Feb</v>
      </c>
    </row>
    <row r="196" spans="1:12" x14ac:dyDescent="0.25">
      <c r="A196" t="s">
        <v>248</v>
      </c>
      <c r="B196" s="1">
        <v>45726</v>
      </c>
      <c r="C196" s="2" t="s">
        <v>42</v>
      </c>
      <c r="D196" s="2" t="s">
        <v>20</v>
      </c>
      <c r="E196" s="3">
        <v>500</v>
      </c>
      <c r="F196" s="3">
        <v>3</v>
      </c>
      <c r="G196" s="3">
        <v>1500</v>
      </c>
      <c r="H196" s="2" t="s">
        <v>29</v>
      </c>
      <c r="I196" s="2" t="s">
        <v>26</v>
      </c>
      <c r="J196" s="2" t="s">
        <v>58</v>
      </c>
      <c r="K196" s="2" t="s">
        <v>17</v>
      </c>
      <c r="L196" t="str">
        <f t="shared" si="3"/>
        <v>Mar</v>
      </c>
    </row>
    <row r="197" spans="1:12" x14ac:dyDescent="0.25">
      <c r="A197" t="s">
        <v>249</v>
      </c>
      <c r="B197" s="1">
        <v>45720</v>
      </c>
      <c r="C197" s="2" t="s">
        <v>19</v>
      </c>
      <c r="D197" s="2" t="s">
        <v>20</v>
      </c>
      <c r="E197" s="3">
        <v>100</v>
      </c>
      <c r="F197" s="3">
        <v>5</v>
      </c>
      <c r="G197" s="3">
        <v>500</v>
      </c>
      <c r="H197" s="2" t="s">
        <v>57</v>
      </c>
      <c r="I197" s="2" t="s">
        <v>63</v>
      </c>
      <c r="J197" s="2" t="s">
        <v>16</v>
      </c>
      <c r="K197" s="2" t="s">
        <v>23</v>
      </c>
      <c r="L197" t="str">
        <f t="shared" si="3"/>
        <v>Mar</v>
      </c>
    </row>
    <row r="198" spans="1:12" x14ac:dyDescent="0.25">
      <c r="A198" t="s">
        <v>250</v>
      </c>
      <c r="B198" s="1">
        <v>45728</v>
      </c>
      <c r="C198" s="2" t="s">
        <v>12</v>
      </c>
      <c r="D198" s="2" t="s">
        <v>13</v>
      </c>
      <c r="E198" s="3">
        <v>60</v>
      </c>
      <c r="F198" s="3">
        <v>2</v>
      </c>
      <c r="G198" s="3">
        <v>120</v>
      </c>
      <c r="H198" s="2" t="s">
        <v>54</v>
      </c>
      <c r="I198" s="2" t="s">
        <v>26</v>
      </c>
      <c r="J198" s="2" t="s">
        <v>58</v>
      </c>
      <c r="K198" s="2" t="s">
        <v>40</v>
      </c>
      <c r="L198" t="str">
        <f t="shared" si="3"/>
        <v>Mar</v>
      </c>
    </row>
    <row r="199" spans="1:12" x14ac:dyDescent="0.25">
      <c r="A199" t="s">
        <v>251</v>
      </c>
      <c r="B199" s="1">
        <v>45708</v>
      </c>
      <c r="C199" s="2" t="s">
        <v>56</v>
      </c>
      <c r="D199" s="2" t="s">
        <v>20</v>
      </c>
      <c r="E199" s="3">
        <v>800</v>
      </c>
      <c r="F199" s="3">
        <v>4</v>
      </c>
      <c r="G199" s="3">
        <v>3200</v>
      </c>
      <c r="H199" s="2" t="s">
        <v>80</v>
      </c>
      <c r="I199" s="2" t="s">
        <v>63</v>
      </c>
      <c r="J199" s="2" t="s">
        <v>27</v>
      </c>
      <c r="K199" s="2" t="s">
        <v>23</v>
      </c>
      <c r="L199" t="str">
        <f t="shared" si="3"/>
        <v>Feb</v>
      </c>
    </row>
    <row r="200" spans="1:12" x14ac:dyDescent="0.25">
      <c r="A200" t="s">
        <v>252</v>
      </c>
      <c r="B200" s="1">
        <v>45710</v>
      </c>
      <c r="C200" s="2" t="s">
        <v>42</v>
      </c>
      <c r="D200" s="2" t="s">
        <v>20</v>
      </c>
      <c r="E200" s="3">
        <v>500</v>
      </c>
      <c r="F200" s="3">
        <v>3</v>
      </c>
      <c r="G200" s="3">
        <v>1500</v>
      </c>
      <c r="H200" s="2" t="s">
        <v>72</v>
      </c>
      <c r="I200" s="2" t="s">
        <v>30</v>
      </c>
      <c r="J200" s="2" t="s">
        <v>31</v>
      </c>
      <c r="K200" s="2" t="s">
        <v>40</v>
      </c>
      <c r="L200" t="str">
        <f t="shared" si="3"/>
        <v>Feb</v>
      </c>
    </row>
    <row r="201" spans="1:12" x14ac:dyDescent="0.25">
      <c r="A201" t="s">
        <v>253</v>
      </c>
      <c r="B201" s="1">
        <v>45698</v>
      </c>
      <c r="C201" s="2" t="s">
        <v>49</v>
      </c>
      <c r="D201" s="2" t="s">
        <v>50</v>
      </c>
      <c r="E201" s="3">
        <v>15</v>
      </c>
      <c r="F201" s="3">
        <v>2</v>
      </c>
      <c r="G201" s="3">
        <v>30</v>
      </c>
      <c r="H201" s="2" t="s">
        <v>72</v>
      </c>
      <c r="I201" s="2" t="s">
        <v>68</v>
      </c>
      <c r="J201" s="2" t="s">
        <v>16</v>
      </c>
      <c r="K201" s="2" t="s">
        <v>40</v>
      </c>
      <c r="L201" t="str">
        <f t="shared" si="3"/>
        <v>Feb</v>
      </c>
    </row>
    <row r="202" spans="1:12" x14ac:dyDescent="0.25">
      <c r="A202" t="s">
        <v>254</v>
      </c>
      <c r="B202" s="1">
        <v>45691</v>
      </c>
      <c r="C202" s="2" t="s">
        <v>49</v>
      </c>
      <c r="D202" s="2" t="s">
        <v>50</v>
      </c>
      <c r="E202" s="3">
        <v>15</v>
      </c>
      <c r="F202" s="3">
        <v>4</v>
      </c>
      <c r="G202" s="3">
        <v>60</v>
      </c>
      <c r="H202" s="2" t="s">
        <v>54</v>
      </c>
      <c r="I202" s="2" t="s">
        <v>22</v>
      </c>
      <c r="J202" s="2" t="s">
        <v>31</v>
      </c>
      <c r="K202" s="2" t="s">
        <v>40</v>
      </c>
      <c r="L202" t="str">
        <f t="shared" si="3"/>
        <v>Feb</v>
      </c>
    </row>
    <row r="203" spans="1:12" x14ac:dyDescent="0.25">
      <c r="A203" t="s">
        <v>255</v>
      </c>
      <c r="B203" s="1">
        <v>45709</v>
      </c>
      <c r="C203" s="2" t="s">
        <v>42</v>
      </c>
      <c r="D203" s="2" t="s">
        <v>20</v>
      </c>
      <c r="E203" s="3">
        <v>500</v>
      </c>
      <c r="F203" s="3">
        <v>2</v>
      </c>
      <c r="G203" s="3">
        <v>1000</v>
      </c>
      <c r="H203" s="2" t="s">
        <v>57</v>
      </c>
      <c r="I203" s="2" t="s">
        <v>44</v>
      </c>
      <c r="J203" s="2" t="s">
        <v>31</v>
      </c>
      <c r="K203" s="2" t="s">
        <v>17</v>
      </c>
      <c r="L203" t="str">
        <f t="shared" si="3"/>
        <v>Feb</v>
      </c>
    </row>
    <row r="204" spans="1:12" x14ac:dyDescent="0.25">
      <c r="A204" t="s">
        <v>256</v>
      </c>
      <c r="B204" s="1">
        <v>45709</v>
      </c>
      <c r="C204" s="2" t="s">
        <v>65</v>
      </c>
      <c r="D204" s="2" t="s">
        <v>61</v>
      </c>
      <c r="E204" s="3">
        <v>1200</v>
      </c>
      <c r="F204" s="3">
        <v>3</v>
      </c>
      <c r="G204" s="3">
        <v>3600</v>
      </c>
      <c r="H204" s="2" t="s">
        <v>25</v>
      </c>
      <c r="I204" s="2" t="s">
        <v>30</v>
      </c>
      <c r="J204" s="2" t="s">
        <v>16</v>
      </c>
      <c r="K204" s="2" t="s">
        <v>40</v>
      </c>
      <c r="L204" t="str">
        <f t="shared" si="3"/>
        <v>Feb</v>
      </c>
    </row>
    <row r="205" spans="1:12" x14ac:dyDescent="0.25">
      <c r="A205" t="s">
        <v>257</v>
      </c>
      <c r="B205" s="1">
        <v>45724</v>
      </c>
      <c r="C205" s="2" t="s">
        <v>12</v>
      </c>
      <c r="D205" s="2" t="s">
        <v>13</v>
      </c>
      <c r="E205" s="3">
        <v>60</v>
      </c>
      <c r="F205" s="3">
        <v>5</v>
      </c>
      <c r="G205" s="3">
        <v>300</v>
      </c>
      <c r="H205" s="2" t="s">
        <v>80</v>
      </c>
      <c r="I205" s="2" t="s">
        <v>44</v>
      </c>
      <c r="J205" s="2" t="s">
        <v>58</v>
      </c>
      <c r="K205" s="2" t="s">
        <v>23</v>
      </c>
      <c r="L205" t="str">
        <f t="shared" si="3"/>
        <v>Mar</v>
      </c>
    </row>
    <row r="206" spans="1:12" x14ac:dyDescent="0.25">
      <c r="A206" t="s">
        <v>258</v>
      </c>
      <c r="B206" s="1">
        <v>45715</v>
      </c>
      <c r="C206" s="2" t="s">
        <v>19</v>
      </c>
      <c r="D206" s="2" t="s">
        <v>20</v>
      </c>
      <c r="E206" s="3">
        <v>100</v>
      </c>
      <c r="F206" s="3">
        <v>2</v>
      </c>
      <c r="G206" s="3">
        <v>200</v>
      </c>
      <c r="H206" s="2" t="s">
        <v>51</v>
      </c>
      <c r="I206" s="2" t="s">
        <v>38</v>
      </c>
      <c r="J206" s="2" t="s">
        <v>39</v>
      </c>
      <c r="K206" s="2" t="s">
        <v>40</v>
      </c>
      <c r="L206" t="str">
        <f t="shared" si="3"/>
        <v>Feb</v>
      </c>
    </row>
    <row r="207" spans="1:12" x14ac:dyDescent="0.25">
      <c r="A207" t="s">
        <v>259</v>
      </c>
      <c r="B207" s="1">
        <v>45700</v>
      </c>
      <c r="C207" s="2" t="s">
        <v>60</v>
      </c>
      <c r="D207" s="2" t="s">
        <v>61</v>
      </c>
      <c r="E207" s="3">
        <v>600</v>
      </c>
      <c r="F207" s="3">
        <v>5</v>
      </c>
      <c r="G207" s="3">
        <v>3000</v>
      </c>
      <c r="H207" s="2" t="s">
        <v>14</v>
      </c>
      <c r="I207" s="2" t="s">
        <v>44</v>
      </c>
      <c r="J207" s="2" t="s">
        <v>27</v>
      </c>
      <c r="K207" s="2" t="s">
        <v>23</v>
      </c>
      <c r="L207" t="str">
        <f t="shared" si="3"/>
        <v>Feb</v>
      </c>
    </row>
    <row r="208" spans="1:12" x14ac:dyDescent="0.25">
      <c r="A208" t="s">
        <v>260</v>
      </c>
      <c r="B208" s="1">
        <v>45737</v>
      </c>
      <c r="C208" s="2" t="s">
        <v>60</v>
      </c>
      <c r="D208" s="2" t="s">
        <v>61</v>
      </c>
      <c r="E208" s="3">
        <v>600</v>
      </c>
      <c r="F208" s="3">
        <v>1</v>
      </c>
      <c r="G208" s="3">
        <v>600</v>
      </c>
      <c r="H208" s="2" t="s">
        <v>25</v>
      </c>
      <c r="I208" s="2" t="s">
        <v>44</v>
      </c>
      <c r="J208" s="2" t="s">
        <v>31</v>
      </c>
      <c r="K208" s="2" t="s">
        <v>40</v>
      </c>
      <c r="L208" t="str">
        <f t="shared" si="3"/>
        <v>Mar</v>
      </c>
    </row>
    <row r="209" spans="1:12" x14ac:dyDescent="0.25">
      <c r="A209" t="s">
        <v>261</v>
      </c>
      <c r="B209" s="1">
        <v>45690</v>
      </c>
      <c r="C209" s="2" t="s">
        <v>65</v>
      </c>
      <c r="D209" s="2" t="s">
        <v>61</v>
      </c>
      <c r="E209" s="3">
        <v>1200</v>
      </c>
      <c r="F209" s="3">
        <v>3</v>
      </c>
      <c r="G209" s="3">
        <v>3600</v>
      </c>
      <c r="H209" s="2" t="s">
        <v>25</v>
      </c>
      <c r="I209" s="2" t="s">
        <v>44</v>
      </c>
      <c r="J209" s="2" t="s">
        <v>39</v>
      </c>
      <c r="K209" s="2" t="s">
        <v>40</v>
      </c>
      <c r="L209" t="str">
        <f t="shared" si="3"/>
        <v>Feb</v>
      </c>
    </row>
    <row r="210" spans="1:12" x14ac:dyDescent="0.25">
      <c r="A210" t="s">
        <v>262</v>
      </c>
      <c r="B210" s="1">
        <v>45745</v>
      </c>
      <c r="C210" s="2" t="s">
        <v>53</v>
      </c>
      <c r="D210" s="2" t="s">
        <v>36</v>
      </c>
      <c r="E210" s="3">
        <v>40</v>
      </c>
      <c r="F210" s="3">
        <v>5</v>
      </c>
      <c r="G210" s="3">
        <v>200</v>
      </c>
      <c r="H210" s="2" t="s">
        <v>57</v>
      </c>
      <c r="I210" s="2" t="s">
        <v>30</v>
      </c>
      <c r="J210" s="2" t="s">
        <v>39</v>
      </c>
      <c r="K210" s="2" t="s">
        <v>40</v>
      </c>
      <c r="L210" t="str">
        <f t="shared" si="3"/>
        <v>Mar</v>
      </c>
    </row>
    <row r="211" spans="1:12" x14ac:dyDescent="0.25">
      <c r="A211" t="s">
        <v>263</v>
      </c>
      <c r="B211" s="1">
        <v>45739</v>
      </c>
      <c r="C211" s="2" t="s">
        <v>56</v>
      </c>
      <c r="D211" s="2" t="s">
        <v>20</v>
      </c>
      <c r="E211" s="3">
        <v>800</v>
      </c>
      <c r="F211" s="3">
        <v>3</v>
      </c>
      <c r="G211" s="3">
        <v>2400</v>
      </c>
      <c r="H211" s="2" t="s">
        <v>80</v>
      </c>
      <c r="I211" s="2" t="s">
        <v>15</v>
      </c>
      <c r="J211" s="2" t="s">
        <v>39</v>
      </c>
      <c r="K211" s="2" t="s">
        <v>40</v>
      </c>
      <c r="L211" t="str">
        <f t="shared" si="3"/>
        <v>Mar</v>
      </c>
    </row>
    <row r="212" spans="1:12" x14ac:dyDescent="0.25">
      <c r="A212" t="s">
        <v>264</v>
      </c>
      <c r="B212" s="1">
        <v>45729</v>
      </c>
      <c r="C212" s="2" t="s">
        <v>42</v>
      </c>
      <c r="D212" s="2" t="s">
        <v>20</v>
      </c>
      <c r="E212" s="3">
        <v>500</v>
      </c>
      <c r="F212" s="3">
        <v>1</v>
      </c>
      <c r="G212" s="3">
        <v>500</v>
      </c>
      <c r="H212" s="2" t="s">
        <v>51</v>
      </c>
      <c r="I212" s="2" t="s">
        <v>44</v>
      </c>
      <c r="J212" s="2" t="s">
        <v>58</v>
      </c>
      <c r="K212" s="2" t="s">
        <v>23</v>
      </c>
      <c r="L212" t="str">
        <f t="shared" si="3"/>
        <v>Mar</v>
      </c>
    </row>
    <row r="213" spans="1:12" x14ac:dyDescent="0.25">
      <c r="A213" t="s">
        <v>265</v>
      </c>
      <c r="B213" s="1">
        <v>45725</v>
      </c>
      <c r="C213" s="2" t="s">
        <v>35</v>
      </c>
      <c r="D213" s="2" t="s">
        <v>36</v>
      </c>
      <c r="E213" s="3">
        <v>20</v>
      </c>
      <c r="F213" s="3">
        <v>4</v>
      </c>
      <c r="G213" s="3">
        <v>80</v>
      </c>
      <c r="H213" s="2" t="s">
        <v>14</v>
      </c>
      <c r="I213" s="2" t="s">
        <v>38</v>
      </c>
      <c r="J213" s="2" t="s">
        <v>16</v>
      </c>
      <c r="K213" s="2" t="s">
        <v>40</v>
      </c>
      <c r="L213" t="str">
        <f t="shared" si="3"/>
        <v>Mar</v>
      </c>
    </row>
    <row r="214" spans="1:12" x14ac:dyDescent="0.25">
      <c r="A214" t="s">
        <v>266</v>
      </c>
      <c r="B214" s="1">
        <v>45694</v>
      </c>
      <c r="C214" s="2" t="s">
        <v>56</v>
      </c>
      <c r="D214" s="2" t="s">
        <v>20</v>
      </c>
      <c r="E214" s="3">
        <v>800</v>
      </c>
      <c r="F214" s="3">
        <v>1</v>
      </c>
      <c r="G214" s="3">
        <v>800</v>
      </c>
      <c r="H214" s="2" t="s">
        <v>80</v>
      </c>
      <c r="I214" s="2" t="s">
        <v>68</v>
      </c>
      <c r="J214" s="2" t="s">
        <v>27</v>
      </c>
      <c r="K214" s="2" t="s">
        <v>17</v>
      </c>
      <c r="L214" t="str">
        <f t="shared" si="3"/>
        <v>Feb</v>
      </c>
    </row>
    <row r="215" spans="1:12" x14ac:dyDescent="0.25">
      <c r="A215" t="s">
        <v>267</v>
      </c>
      <c r="B215" s="1">
        <v>45706</v>
      </c>
      <c r="C215" s="2" t="s">
        <v>33</v>
      </c>
      <c r="D215" s="2" t="s">
        <v>20</v>
      </c>
      <c r="E215" s="3">
        <v>150</v>
      </c>
      <c r="F215" s="3">
        <v>5</v>
      </c>
      <c r="G215" s="3">
        <v>750</v>
      </c>
      <c r="H215" s="2" t="s">
        <v>21</v>
      </c>
      <c r="I215" s="2" t="s">
        <v>38</v>
      </c>
      <c r="J215" s="2" t="s">
        <v>16</v>
      </c>
      <c r="K215" s="2" t="s">
        <v>40</v>
      </c>
      <c r="L215" t="str">
        <f t="shared" si="3"/>
        <v>Feb</v>
      </c>
    </row>
    <row r="216" spans="1:12" x14ac:dyDescent="0.25">
      <c r="A216" t="s">
        <v>268</v>
      </c>
      <c r="B216" s="1">
        <v>45723</v>
      </c>
      <c r="C216" s="2" t="s">
        <v>12</v>
      </c>
      <c r="D216" s="2" t="s">
        <v>13</v>
      </c>
      <c r="E216" s="3">
        <v>60</v>
      </c>
      <c r="F216" s="3">
        <v>1</v>
      </c>
      <c r="G216" s="3">
        <v>60</v>
      </c>
      <c r="H216" s="2" t="s">
        <v>14</v>
      </c>
      <c r="I216" s="2" t="s">
        <v>38</v>
      </c>
      <c r="J216" s="2" t="s">
        <v>39</v>
      </c>
      <c r="K216" s="2" t="s">
        <v>40</v>
      </c>
      <c r="L216" t="str">
        <f t="shared" si="3"/>
        <v>Mar</v>
      </c>
    </row>
    <row r="217" spans="1:12" x14ac:dyDescent="0.25">
      <c r="A217" t="s">
        <v>269</v>
      </c>
      <c r="B217" s="1">
        <v>45742</v>
      </c>
      <c r="C217" s="2" t="s">
        <v>53</v>
      </c>
      <c r="D217" s="2" t="s">
        <v>36</v>
      </c>
      <c r="E217" s="3">
        <v>40</v>
      </c>
      <c r="F217" s="3">
        <v>2</v>
      </c>
      <c r="G217" s="3">
        <v>80</v>
      </c>
      <c r="H217" s="2" t="s">
        <v>72</v>
      </c>
      <c r="I217" s="2" t="s">
        <v>81</v>
      </c>
      <c r="J217" s="2" t="s">
        <v>31</v>
      </c>
      <c r="K217" s="2" t="s">
        <v>40</v>
      </c>
      <c r="L217" t="str">
        <f t="shared" si="3"/>
        <v>Mar</v>
      </c>
    </row>
    <row r="218" spans="1:12" x14ac:dyDescent="0.25">
      <c r="A218" t="s">
        <v>270</v>
      </c>
      <c r="B218" s="1">
        <v>45735</v>
      </c>
      <c r="C218" s="2" t="s">
        <v>12</v>
      </c>
      <c r="D218" s="2" t="s">
        <v>13</v>
      </c>
      <c r="E218" s="3">
        <v>60</v>
      </c>
      <c r="F218" s="3">
        <v>2</v>
      </c>
      <c r="G218" s="3">
        <v>120</v>
      </c>
      <c r="H218" s="2" t="s">
        <v>14</v>
      </c>
      <c r="I218" s="2" t="s">
        <v>46</v>
      </c>
      <c r="J218" s="2" t="s">
        <v>58</v>
      </c>
      <c r="K218" s="2" t="s">
        <v>23</v>
      </c>
      <c r="L218" t="str">
        <f t="shared" si="3"/>
        <v>Mar</v>
      </c>
    </row>
    <row r="219" spans="1:12" x14ac:dyDescent="0.25">
      <c r="A219" t="s">
        <v>271</v>
      </c>
      <c r="B219" s="1">
        <v>45703</v>
      </c>
      <c r="C219" s="2" t="s">
        <v>19</v>
      </c>
      <c r="D219" s="2" t="s">
        <v>20</v>
      </c>
      <c r="E219" s="3">
        <v>100</v>
      </c>
      <c r="F219" s="3">
        <v>4</v>
      </c>
      <c r="G219" s="3">
        <v>400</v>
      </c>
      <c r="H219" s="2" t="s">
        <v>57</v>
      </c>
      <c r="I219" s="2" t="s">
        <v>15</v>
      </c>
      <c r="J219" s="2" t="s">
        <v>58</v>
      </c>
      <c r="K219" s="2" t="s">
        <v>17</v>
      </c>
      <c r="L219" t="str">
        <f t="shared" si="3"/>
        <v>Feb</v>
      </c>
    </row>
    <row r="220" spans="1:12" x14ac:dyDescent="0.25">
      <c r="A220" t="s">
        <v>272</v>
      </c>
      <c r="B220" s="1">
        <v>45705</v>
      </c>
      <c r="C220" s="2" t="s">
        <v>19</v>
      </c>
      <c r="D220" s="2" t="s">
        <v>20</v>
      </c>
      <c r="E220" s="3">
        <v>100</v>
      </c>
      <c r="F220" s="3">
        <v>3</v>
      </c>
      <c r="G220" s="3">
        <v>300</v>
      </c>
      <c r="H220" s="2" t="s">
        <v>51</v>
      </c>
      <c r="I220" s="2" t="s">
        <v>38</v>
      </c>
      <c r="J220" s="2" t="s">
        <v>39</v>
      </c>
      <c r="K220" s="2" t="s">
        <v>17</v>
      </c>
      <c r="L220" t="str">
        <f t="shared" si="3"/>
        <v>Feb</v>
      </c>
    </row>
    <row r="221" spans="1:12" x14ac:dyDescent="0.25">
      <c r="A221" t="s">
        <v>273</v>
      </c>
      <c r="B221" s="1">
        <v>45698</v>
      </c>
      <c r="C221" s="2" t="s">
        <v>33</v>
      </c>
      <c r="D221" s="2" t="s">
        <v>20</v>
      </c>
      <c r="E221" s="3">
        <v>150</v>
      </c>
      <c r="F221" s="3">
        <v>3</v>
      </c>
      <c r="G221" s="3">
        <v>450</v>
      </c>
      <c r="H221" s="2" t="s">
        <v>54</v>
      </c>
      <c r="I221" s="2" t="s">
        <v>26</v>
      </c>
      <c r="J221" s="2" t="s">
        <v>16</v>
      </c>
      <c r="K221" s="2" t="s">
        <v>40</v>
      </c>
      <c r="L221" t="str">
        <f t="shared" si="3"/>
        <v>Feb</v>
      </c>
    </row>
    <row r="222" spans="1:12" x14ac:dyDescent="0.25">
      <c r="A222" t="s">
        <v>274</v>
      </c>
      <c r="B222" s="1">
        <v>45716</v>
      </c>
      <c r="C222" s="2" t="s">
        <v>60</v>
      </c>
      <c r="D222" s="2" t="s">
        <v>61</v>
      </c>
      <c r="E222" s="3">
        <v>600</v>
      </c>
      <c r="F222" s="3">
        <v>2</v>
      </c>
      <c r="G222" s="3">
        <v>1200</v>
      </c>
      <c r="H222" s="2" t="s">
        <v>21</v>
      </c>
      <c r="I222" s="2" t="s">
        <v>81</v>
      </c>
      <c r="J222" s="2" t="s">
        <v>58</v>
      </c>
      <c r="K222" s="2" t="s">
        <v>17</v>
      </c>
      <c r="L222" t="str">
        <f t="shared" si="3"/>
        <v>Feb</v>
      </c>
    </row>
    <row r="223" spans="1:12" x14ac:dyDescent="0.25">
      <c r="A223" t="s">
        <v>275</v>
      </c>
      <c r="B223" s="1">
        <v>45704</v>
      </c>
      <c r="C223" s="2" t="s">
        <v>60</v>
      </c>
      <c r="D223" s="2" t="s">
        <v>61</v>
      </c>
      <c r="E223" s="3">
        <v>600</v>
      </c>
      <c r="F223" s="3">
        <v>2</v>
      </c>
      <c r="G223" s="3">
        <v>1200</v>
      </c>
      <c r="H223" s="2" t="s">
        <v>72</v>
      </c>
      <c r="I223" s="2" t="s">
        <v>63</v>
      </c>
      <c r="J223" s="2" t="s">
        <v>39</v>
      </c>
      <c r="K223" s="2" t="s">
        <v>17</v>
      </c>
      <c r="L223" t="str">
        <f t="shared" si="3"/>
        <v>Feb</v>
      </c>
    </row>
    <row r="224" spans="1:12" x14ac:dyDescent="0.25">
      <c r="A224" t="s">
        <v>276</v>
      </c>
      <c r="B224" s="1">
        <v>45740</v>
      </c>
      <c r="C224" s="2" t="s">
        <v>53</v>
      </c>
      <c r="D224" s="2" t="s">
        <v>36</v>
      </c>
      <c r="E224" s="3">
        <v>40</v>
      </c>
      <c r="F224" s="3">
        <v>2</v>
      </c>
      <c r="G224" s="3">
        <v>80</v>
      </c>
      <c r="H224" s="2" t="s">
        <v>51</v>
      </c>
      <c r="I224" s="2" t="s">
        <v>26</v>
      </c>
      <c r="J224" s="2" t="s">
        <v>27</v>
      </c>
      <c r="K224" s="2" t="s">
        <v>17</v>
      </c>
      <c r="L224" t="str">
        <f t="shared" si="3"/>
        <v>Mar</v>
      </c>
    </row>
    <row r="225" spans="1:12" x14ac:dyDescent="0.25">
      <c r="A225" t="s">
        <v>277</v>
      </c>
      <c r="B225" s="1">
        <v>45734</v>
      </c>
      <c r="C225" s="2" t="s">
        <v>65</v>
      </c>
      <c r="D225" s="2" t="s">
        <v>61</v>
      </c>
      <c r="E225" s="3">
        <v>1200</v>
      </c>
      <c r="F225" s="3">
        <v>1</v>
      </c>
      <c r="G225" s="3">
        <v>1200</v>
      </c>
      <c r="H225" s="2" t="s">
        <v>80</v>
      </c>
      <c r="I225" s="2" t="s">
        <v>44</v>
      </c>
      <c r="J225" s="2" t="s">
        <v>39</v>
      </c>
      <c r="K225" s="2" t="s">
        <v>40</v>
      </c>
      <c r="L225" t="str">
        <f t="shared" si="3"/>
        <v>Mar</v>
      </c>
    </row>
    <row r="226" spans="1:12" x14ac:dyDescent="0.25">
      <c r="A226" t="s">
        <v>278</v>
      </c>
      <c r="B226" s="1">
        <v>45727</v>
      </c>
      <c r="C226" s="2" t="s">
        <v>53</v>
      </c>
      <c r="D226" s="2" t="s">
        <v>36</v>
      </c>
      <c r="E226" s="3">
        <v>40</v>
      </c>
      <c r="F226" s="3">
        <v>1</v>
      </c>
      <c r="G226" s="3">
        <v>40</v>
      </c>
      <c r="H226" s="2" t="s">
        <v>43</v>
      </c>
      <c r="I226" s="2" t="s">
        <v>15</v>
      </c>
      <c r="J226" s="2" t="s">
        <v>58</v>
      </c>
      <c r="K226" s="2" t="s">
        <v>17</v>
      </c>
      <c r="L226" t="str">
        <f t="shared" si="3"/>
        <v>Mar</v>
      </c>
    </row>
    <row r="227" spans="1:12" x14ac:dyDescent="0.25">
      <c r="A227" t="s">
        <v>279</v>
      </c>
      <c r="B227" s="1">
        <v>45721</v>
      </c>
      <c r="C227" s="2" t="s">
        <v>12</v>
      </c>
      <c r="D227" s="2" t="s">
        <v>13</v>
      </c>
      <c r="E227" s="3">
        <v>60</v>
      </c>
      <c r="F227" s="3">
        <v>4</v>
      </c>
      <c r="G227" s="3">
        <v>240</v>
      </c>
      <c r="H227" s="2" t="s">
        <v>72</v>
      </c>
      <c r="I227" s="2" t="s">
        <v>81</v>
      </c>
      <c r="J227" s="2" t="s">
        <v>27</v>
      </c>
      <c r="K227" s="2" t="s">
        <v>40</v>
      </c>
      <c r="L227" t="str">
        <f t="shared" si="3"/>
        <v>Mar</v>
      </c>
    </row>
    <row r="228" spans="1:12" x14ac:dyDescent="0.25">
      <c r="A228" t="s">
        <v>280</v>
      </c>
      <c r="B228" s="1">
        <v>45749</v>
      </c>
      <c r="C228" s="2" t="s">
        <v>19</v>
      </c>
      <c r="D228" s="2" t="s">
        <v>20</v>
      </c>
      <c r="E228" s="3">
        <v>100</v>
      </c>
      <c r="F228" s="3">
        <v>5</v>
      </c>
      <c r="G228" s="3">
        <v>500</v>
      </c>
      <c r="H228" s="2" t="s">
        <v>14</v>
      </c>
      <c r="I228" s="2" t="s">
        <v>44</v>
      </c>
      <c r="J228" s="2" t="s">
        <v>27</v>
      </c>
      <c r="K228" s="2" t="s">
        <v>17</v>
      </c>
      <c r="L228" t="str">
        <f t="shared" si="3"/>
        <v>Apr</v>
      </c>
    </row>
    <row r="229" spans="1:12" x14ac:dyDescent="0.25">
      <c r="A229" t="s">
        <v>281</v>
      </c>
      <c r="B229" s="1">
        <v>45700</v>
      </c>
      <c r="C229" s="2" t="s">
        <v>12</v>
      </c>
      <c r="D229" s="2" t="s">
        <v>13</v>
      </c>
      <c r="E229" s="3">
        <v>60</v>
      </c>
      <c r="F229" s="3">
        <v>1</v>
      </c>
      <c r="G229" s="3">
        <v>60</v>
      </c>
      <c r="H229" s="2" t="s">
        <v>51</v>
      </c>
      <c r="I229" s="2" t="s">
        <v>22</v>
      </c>
      <c r="J229" s="2" t="s">
        <v>31</v>
      </c>
      <c r="K229" s="2" t="s">
        <v>23</v>
      </c>
      <c r="L229" t="str">
        <f t="shared" si="3"/>
        <v>Feb</v>
      </c>
    </row>
    <row r="230" spans="1:12" x14ac:dyDescent="0.25">
      <c r="A230" t="s">
        <v>282</v>
      </c>
      <c r="B230" s="1">
        <v>45737</v>
      </c>
      <c r="C230" s="2" t="s">
        <v>12</v>
      </c>
      <c r="D230" s="2" t="s">
        <v>13</v>
      </c>
      <c r="E230" s="3">
        <v>60</v>
      </c>
      <c r="F230" s="3">
        <v>3</v>
      </c>
      <c r="G230" s="3">
        <v>180</v>
      </c>
      <c r="H230" s="2" t="s">
        <v>14</v>
      </c>
      <c r="I230" s="2" t="s">
        <v>22</v>
      </c>
      <c r="J230" s="2" t="s">
        <v>31</v>
      </c>
      <c r="K230" s="2" t="s">
        <v>23</v>
      </c>
      <c r="L230" t="str">
        <f t="shared" si="3"/>
        <v>Mar</v>
      </c>
    </row>
    <row r="231" spans="1:12" x14ac:dyDescent="0.25">
      <c r="A231" t="s">
        <v>283</v>
      </c>
      <c r="B231" s="1">
        <v>45747</v>
      </c>
      <c r="C231" s="2" t="s">
        <v>19</v>
      </c>
      <c r="D231" s="2" t="s">
        <v>20</v>
      </c>
      <c r="E231" s="3">
        <v>100</v>
      </c>
      <c r="F231" s="3">
        <v>4</v>
      </c>
      <c r="G231" s="3">
        <v>400</v>
      </c>
      <c r="H231" s="2" t="s">
        <v>80</v>
      </c>
      <c r="I231" s="2" t="s">
        <v>22</v>
      </c>
      <c r="J231" s="2" t="s">
        <v>27</v>
      </c>
      <c r="K231" s="2" t="s">
        <v>23</v>
      </c>
      <c r="L231" t="str">
        <f t="shared" si="3"/>
        <v>Mar</v>
      </c>
    </row>
    <row r="232" spans="1:12" x14ac:dyDescent="0.25">
      <c r="A232" t="s">
        <v>284</v>
      </c>
      <c r="B232" s="1">
        <v>45704</v>
      </c>
      <c r="C232" s="2" t="s">
        <v>56</v>
      </c>
      <c r="D232" s="2" t="s">
        <v>20</v>
      </c>
      <c r="E232" s="3">
        <v>800</v>
      </c>
      <c r="F232" s="3">
        <v>5</v>
      </c>
      <c r="G232" s="3">
        <v>4000</v>
      </c>
      <c r="H232" s="2" t="s">
        <v>80</v>
      </c>
      <c r="I232" s="2" t="s">
        <v>46</v>
      </c>
      <c r="J232" s="2" t="s">
        <v>31</v>
      </c>
      <c r="K232" s="2" t="s">
        <v>17</v>
      </c>
      <c r="L232" t="str">
        <f t="shared" si="3"/>
        <v>Feb</v>
      </c>
    </row>
    <row r="233" spans="1:12" x14ac:dyDescent="0.25">
      <c r="A233" t="s">
        <v>285</v>
      </c>
      <c r="B233" s="1">
        <v>45730</v>
      </c>
      <c r="C233" s="2" t="s">
        <v>65</v>
      </c>
      <c r="D233" s="2" t="s">
        <v>61</v>
      </c>
      <c r="E233" s="3">
        <v>1200</v>
      </c>
      <c r="F233" s="3">
        <v>3</v>
      </c>
      <c r="G233" s="3">
        <v>3600</v>
      </c>
      <c r="H233" s="2" t="s">
        <v>14</v>
      </c>
      <c r="I233" s="2" t="s">
        <v>68</v>
      </c>
      <c r="J233" s="2" t="s">
        <v>31</v>
      </c>
      <c r="K233" s="2" t="s">
        <v>40</v>
      </c>
      <c r="L233" t="str">
        <f t="shared" si="3"/>
        <v>Mar</v>
      </c>
    </row>
    <row r="234" spans="1:12" x14ac:dyDescent="0.25">
      <c r="A234" t="s">
        <v>286</v>
      </c>
      <c r="B234" s="1">
        <v>45708</v>
      </c>
      <c r="C234" s="2" t="s">
        <v>12</v>
      </c>
      <c r="D234" s="2" t="s">
        <v>13</v>
      </c>
      <c r="E234" s="3">
        <v>60</v>
      </c>
      <c r="F234" s="3">
        <v>1</v>
      </c>
      <c r="G234" s="3">
        <v>60</v>
      </c>
      <c r="H234" s="2" t="s">
        <v>51</v>
      </c>
      <c r="I234" s="2" t="s">
        <v>46</v>
      </c>
      <c r="J234" s="2" t="s">
        <v>39</v>
      </c>
      <c r="K234" s="2" t="s">
        <v>17</v>
      </c>
      <c r="L234" t="str">
        <f t="shared" si="3"/>
        <v>Feb</v>
      </c>
    </row>
    <row r="235" spans="1:12" x14ac:dyDescent="0.25">
      <c r="A235" t="s">
        <v>287</v>
      </c>
      <c r="B235" s="1">
        <v>45724</v>
      </c>
      <c r="C235" s="2" t="s">
        <v>49</v>
      </c>
      <c r="D235" s="2" t="s">
        <v>50</v>
      </c>
      <c r="E235" s="3">
        <v>15</v>
      </c>
      <c r="F235" s="3">
        <v>1</v>
      </c>
      <c r="G235" s="3">
        <v>15</v>
      </c>
      <c r="H235" s="2" t="s">
        <v>80</v>
      </c>
      <c r="I235" s="2" t="s">
        <v>44</v>
      </c>
      <c r="J235" s="2" t="s">
        <v>27</v>
      </c>
      <c r="K235" s="2" t="s">
        <v>17</v>
      </c>
      <c r="L235" t="str">
        <f t="shared" si="3"/>
        <v>Mar</v>
      </c>
    </row>
    <row r="236" spans="1:12" x14ac:dyDescent="0.25">
      <c r="A236" t="s">
        <v>288</v>
      </c>
      <c r="B236" s="1">
        <v>45739</v>
      </c>
      <c r="C236" s="2" t="s">
        <v>65</v>
      </c>
      <c r="D236" s="2" t="s">
        <v>61</v>
      </c>
      <c r="E236" s="3">
        <v>1200</v>
      </c>
      <c r="F236" s="3">
        <v>1</v>
      </c>
      <c r="G236" s="3">
        <v>1200</v>
      </c>
      <c r="H236" s="2" t="s">
        <v>57</v>
      </c>
      <c r="I236" s="2" t="s">
        <v>30</v>
      </c>
      <c r="J236" s="2" t="s">
        <v>39</v>
      </c>
      <c r="K236" s="2" t="s">
        <v>40</v>
      </c>
      <c r="L236" t="str">
        <f t="shared" si="3"/>
        <v>Mar</v>
      </c>
    </row>
    <row r="237" spans="1:12" x14ac:dyDescent="0.25">
      <c r="A237" t="s">
        <v>289</v>
      </c>
      <c r="B237" s="1">
        <v>45721</v>
      </c>
      <c r="C237" s="2" t="s">
        <v>42</v>
      </c>
      <c r="D237" s="2" t="s">
        <v>20</v>
      </c>
      <c r="E237" s="3">
        <v>500</v>
      </c>
      <c r="F237" s="3">
        <v>5</v>
      </c>
      <c r="G237" s="3">
        <v>2500</v>
      </c>
      <c r="H237" s="2" t="s">
        <v>25</v>
      </c>
      <c r="I237" s="2" t="s">
        <v>46</v>
      </c>
      <c r="J237" s="2" t="s">
        <v>39</v>
      </c>
      <c r="K237" s="2" t="s">
        <v>40</v>
      </c>
      <c r="L237" t="str">
        <f t="shared" si="3"/>
        <v>Mar</v>
      </c>
    </row>
    <row r="238" spans="1:12" x14ac:dyDescent="0.25">
      <c r="A238" t="s">
        <v>290</v>
      </c>
      <c r="B238" s="1">
        <v>45699</v>
      </c>
      <c r="C238" s="2" t="s">
        <v>19</v>
      </c>
      <c r="D238" s="2" t="s">
        <v>20</v>
      </c>
      <c r="E238" s="3">
        <v>100</v>
      </c>
      <c r="F238" s="3">
        <v>3</v>
      </c>
      <c r="G238" s="3">
        <v>300</v>
      </c>
      <c r="H238" s="2" t="s">
        <v>54</v>
      </c>
      <c r="I238" s="2" t="s">
        <v>38</v>
      </c>
      <c r="J238" s="2" t="s">
        <v>16</v>
      </c>
      <c r="K238" s="2" t="s">
        <v>17</v>
      </c>
      <c r="L238" t="str">
        <f t="shared" si="3"/>
        <v>Feb</v>
      </c>
    </row>
    <row r="239" spans="1:12" x14ac:dyDescent="0.25">
      <c r="A239" t="s">
        <v>291</v>
      </c>
      <c r="B239" s="1">
        <v>45732</v>
      </c>
      <c r="C239" s="2" t="s">
        <v>19</v>
      </c>
      <c r="D239" s="2" t="s">
        <v>20</v>
      </c>
      <c r="E239" s="3">
        <v>100</v>
      </c>
      <c r="F239" s="3">
        <v>1</v>
      </c>
      <c r="G239" s="3">
        <v>100</v>
      </c>
      <c r="H239" s="2" t="s">
        <v>29</v>
      </c>
      <c r="I239" s="2" t="s">
        <v>26</v>
      </c>
      <c r="J239" s="2" t="s">
        <v>39</v>
      </c>
      <c r="K239" s="2" t="s">
        <v>40</v>
      </c>
      <c r="L239" t="str">
        <f t="shared" si="3"/>
        <v>Mar</v>
      </c>
    </row>
    <row r="240" spans="1:12" x14ac:dyDescent="0.25">
      <c r="A240" t="s">
        <v>292</v>
      </c>
      <c r="B240" s="1">
        <v>45738</v>
      </c>
      <c r="C240" s="2" t="s">
        <v>33</v>
      </c>
      <c r="D240" s="2" t="s">
        <v>20</v>
      </c>
      <c r="E240" s="3">
        <v>150</v>
      </c>
      <c r="F240" s="3">
        <v>5</v>
      </c>
      <c r="G240" s="3">
        <v>750</v>
      </c>
      <c r="H240" s="2" t="s">
        <v>57</v>
      </c>
      <c r="I240" s="2" t="s">
        <v>38</v>
      </c>
      <c r="J240" s="2" t="s">
        <v>27</v>
      </c>
      <c r="K240" s="2" t="s">
        <v>40</v>
      </c>
      <c r="L240" t="str">
        <f t="shared" si="3"/>
        <v>Mar</v>
      </c>
    </row>
    <row r="241" spans="1:12" x14ac:dyDescent="0.25">
      <c r="A241" t="s">
        <v>293</v>
      </c>
      <c r="B241" s="1">
        <v>45697</v>
      </c>
      <c r="C241" s="2" t="s">
        <v>33</v>
      </c>
      <c r="D241" s="2" t="s">
        <v>20</v>
      </c>
      <c r="E241" s="3">
        <v>150</v>
      </c>
      <c r="F241" s="3">
        <v>1</v>
      </c>
      <c r="G241" s="3">
        <v>150</v>
      </c>
      <c r="H241" s="2" t="s">
        <v>25</v>
      </c>
      <c r="I241" s="2" t="s">
        <v>26</v>
      </c>
      <c r="J241" s="2" t="s">
        <v>58</v>
      </c>
      <c r="K241" s="2" t="s">
        <v>23</v>
      </c>
      <c r="L241" t="str">
        <f t="shared" si="3"/>
        <v>Feb</v>
      </c>
    </row>
    <row r="242" spans="1:12" x14ac:dyDescent="0.25">
      <c r="A242" t="s">
        <v>294</v>
      </c>
      <c r="B242" s="1">
        <v>45746</v>
      </c>
      <c r="C242" s="2" t="s">
        <v>42</v>
      </c>
      <c r="D242" s="2" t="s">
        <v>20</v>
      </c>
      <c r="E242" s="3">
        <v>500</v>
      </c>
      <c r="F242" s="3">
        <v>4</v>
      </c>
      <c r="G242" s="3">
        <v>2000</v>
      </c>
      <c r="H242" s="2" t="s">
        <v>29</v>
      </c>
      <c r="I242" s="2" t="s">
        <v>15</v>
      </c>
      <c r="J242" s="2" t="s">
        <v>31</v>
      </c>
      <c r="K242" s="2" t="s">
        <v>23</v>
      </c>
      <c r="L242" t="str">
        <f t="shared" si="3"/>
        <v>Mar</v>
      </c>
    </row>
    <row r="243" spans="1:12" x14ac:dyDescent="0.25">
      <c r="A243" t="s">
        <v>295</v>
      </c>
      <c r="B243" s="1">
        <v>45724</v>
      </c>
      <c r="C243" s="2" t="s">
        <v>42</v>
      </c>
      <c r="D243" s="2" t="s">
        <v>20</v>
      </c>
      <c r="E243" s="3">
        <v>500</v>
      </c>
      <c r="F243" s="3">
        <v>4</v>
      </c>
      <c r="G243" s="3">
        <v>2000</v>
      </c>
      <c r="H243" s="2" t="s">
        <v>72</v>
      </c>
      <c r="I243" s="2" t="s">
        <v>46</v>
      </c>
      <c r="J243" s="2" t="s">
        <v>58</v>
      </c>
      <c r="K243" s="2" t="s">
        <v>23</v>
      </c>
      <c r="L243" t="str">
        <f t="shared" si="3"/>
        <v>Mar</v>
      </c>
    </row>
    <row r="244" spans="1:12" x14ac:dyDescent="0.25">
      <c r="A244" t="s">
        <v>296</v>
      </c>
      <c r="B244" s="1">
        <v>45721</v>
      </c>
      <c r="C244" s="2" t="s">
        <v>12</v>
      </c>
      <c r="D244" s="2" t="s">
        <v>13</v>
      </c>
      <c r="E244" s="3">
        <v>60</v>
      </c>
      <c r="F244" s="3">
        <v>2</v>
      </c>
      <c r="G244" s="3">
        <v>120</v>
      </c>
      <c r="H244" s="2" t="s">
        <v>72</v>
      </c>
      <c r="I244" s="2" t="s">
        <v>38</v>
      </c>
      <c r="J244" s="2" t="s">
        <v>27</v>
      </c>
      <c r="K244" s="2" t="s">
        <v>40</v>
      </c>
      <c r="L244" t="str">
        <f t="shared" si="3"/>
        <v>Mar</v>
      </c>
    </row>
    <row r="245" spans="1:12" x14ac:dyDescent="0.25">
      <c r="A245" t="s">
        <v>297</v>
      </c>
      <c r="B245" s="1">
        <v>45694</v>
      </c>
      <c r="C245" s="2" t="s">
        <v>42</v>
      </c>
      <c r="D245" s="2" t="s">
        <v>20</v>
      </c>
      <c r="E245" s="3">
        <v>500</v>
      </c>
      <c r="F245" s="3">
        <v>4</v>
      </c>
      <c r="G245" s="3">
        <v>2000</v>
      </c>
      <c r="H245" s="2" t="s">
        <v>14</v>
      </c>
      <c r="I245" s="2" t="s">
        <v>38</v>
      </c>
      <c r="J245" s="2" t="s">
        <v>31</v>
      </c>
      <c r="K245" s="2" t="s">
        <v>40</v>
      </c>
      <c r="L245" t="str">
        <f t="shared" si="3"/>
        <v>Feb</v>
      </c>
    </row>
    <row r="246" spans="1:12" x14ac:dyDescent="0.25">
      <c r="A246" t="s">
        <v>298</v>
      </c>
      <c r="B246" s="1">
        <v>45692</v>
      </c>
      <c r="C246" s="2" t="s">
        <v>56</v>
      </c>
      <c r="D246" s="2" t="s">
        <v>20</v>
      </c>
      <c r="E246" s="3">
        <v>800</v>
      </c>
      <c r="F246" s="3">
        <v>1</v>
      </c>
      <c r="G246" s="3">
        <v>800</v>
      </c>
      <c r="H246" s="2" t="s">
        <v>54</v>
      </c>
      <c r="I246" s="2" t="s">
        <v>68</v>
      </c>
      <c r="J246" s="2" t="s">
        <v>31</v>
      </c>
      <c r="K246" s="2" t="s">
        <v>17</v>
      </c>
      <c r="L246" t="str">
        <f t="shared" si="3"/>
        <v>Feb</v>
      </c>
    </row>
    <row r="247" spans="1:12" x14ac:dyDescent="0.25">
      <c r="A247" t="s">
        <v>299</v>
      </c>
      <c r="B247" s="1">
        <v>45733</v>
      </c>
      <c r="C247" s="2" t="s">
        <v>35</v>
      </c>
      <c r="D247" s="2" t="s">
        <v>36</v>
      </c>
      <c r="E247" s="3">
        <v>20</v>
      </c>
      <c r="F247" s="3">
        <v>2</v>
      </c>
      <c r="G247" s="3">
        <v>40</v>
      </c>
      <c r="H247" s="2" t="s">
        <v>57</v>
      </c>
      <c r="I247" s="2" t="s">
        <v>44</v>
      </c>
      <c r="J247" s="2" t="s">
        <v>16</v>
      </c>
      <c r="K247" s="2" t="s">
        <v>17</v>
      </c>
      <c r="L247" t="str">
        <f t="shared" si="3"/>
        <v>Mar</v>
      </c>
    </row>
    <row r="248" spans="1:12" x14ac:dyDescent="0.25">
      <c r="A248" t="s">
        <v>300</v>
      </c>
      <c r="B248" s="1">
        <v>45746</v>
      </c>
      <c r="C248" s="2" t="s">
        <v>53</v>
      </c>
      <c r="D248" s="2" t="s">
        <v>36</v>
      </c>
      <c r="E248" s="3">
        <v>40</v>
      </c>
      <c r="F248" s="3">
        <v>1</v>
      </c>
      <c r="G248" s="3">
        <v>40</v>
      </c>
      <c r="H248" s="2" t="s">
        <v>43</v>
      </c>
      <c r="I248" s="2" t="s">
        <v>30</v>
      </c>
      <c r="J248" s="2" t="s">
        <v>16</v>
      </c>
      <c r="K248" s="2" t="s">
        <v>17</v>
      </c>
      <c r="L248" t="str">
        <f t="shared" si="3"/>
        <v>Mar</v>
      </c>
    </row>
    <row r="249" spans="1:12" x14ac:dyDescent="0.25">
      <c r="A249" t="s">
        <v>301</v>
      </c>
      <c r="B249" s="1">
        <v>45721</v>
      </c>
      <c r="C249" s="2" t="s">
        <v>35</v>
      </c>
      <c r="D249" s="2" t="s">
        <v>36</v>
      </c>
      <c r="E249" s="3">
        <v>20</v>
      </c>
      <c r="F249" s="3">
        <v>2</v>
      </c>
      <c r="G249" s="3">
        <v>40</v>
      </c>
      <c r="H249" s="2" t="s">
        <v>72</v>
      </c>
      <c r="I249" s="2" t="s">
        <v>26</v>
      </c>
      <c r="J249" s="2" t="s">
        <v>16</v>
      </c>
      <c r="K249" s="2" t="s">
        <v>17</v>
      </c>
      <c r="L249" t="str">
        <f t="shared" si="3"/>
        <v>Mar</v>
      </c>
    </row>
    <row r="250" spans="1:12" x14ac:dyDescent="0.25">
      <c r="A250" t="s">
        <v>302</v>
      </c>
      <c r="B250" s="1">
        <v>45724</v>
      </c>
      <c r="C250" s="2" t="s">
        <v>33</v>
      </c>
      <c r="D250" s="2" t="s">
        <v>20</v>
      </c>
      <c r="E250" s="3">
        <v>150</v>
      </c>
      <c r="F250" s="3">
        <v>3</v>
      </c>
      <c r="G250" s="3">
        <v>450</v>
      </c>
      <c r="H250" s="2" t="s">
        <v>21</v>
      </c>
      <c r="I250" s="2" t="s">
        <v>15</v>
      </c>
      <c r="J250" s="2" t="s">
        <v>16</v>
      </c>
      <c r="K250" s="2" t="s">
        <v>17</v>
      </c>
      <c r="L250" t="str">
        <f t="shared" si="3"/>
        <v>Mar</v>
      </c>
    </row>
    <row r="251" spans="1:12" x14ac:dyDescent="0.25">
      <c r="A251" t="s">
        <v>303</v>
      </c>
      <c r="B251" s="1">
        <v>45707</v>
      </c>
      <c r="C251" s="2" t="s">
        <v>42</v>
      </c>
      <c r="D251" s="2" t="s">
        <v>20</v>
      </c>
      <c r="E251" s="3">
        <v>500</v>
      </c>
      <c r="F251" s="3">
        <v>4</v>
      </c>
      <c r="G251" s="3">
        <v>2000</v>
      </c>
      <c r="H251" s="2" t="s">
        <v>21</v>
      </c>
      <c r="I251" s="2" t="s">
        <v>63</v>
      </c>
      <c r="J251" s="2" t="s">
        <v>27</v>
      </c>
      <c r="K251" s="2" t="s">
        <v>40</v>
      </c>
      <c r="L251" t="str">
        <f t="shared" si="3"/>
        <v>Feb</v>
      </c>
    </row>
  </sheetData>
  <autoFilter ref="K1:K252" xr:uid="{9AE54276-C1BA-4642-B28E-6F9C3BBC011E}"/>
  <conditionalFormatting sqref="A1:A1048576">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amazon_sales_analyis_pivot_tabl</vt:lpstr>
      <vt:lpstr>amazon_sales_analyis_proj</vt:lpstr>
      <vt:lpstr>amazon_sales_data 2025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Abed</dc:creator>
  <cp:lastModifiedBy>Admin</cp:lastModifiedBy>
  <cp:lastPrinted>2026-06-13T12:03:23Z</cp:lastPrinted>
  <dcterms:created xsi:type="dcterms:W3CDTF">2026-06-13T11:38:43Z</dcterms:created>
  <dcterms:modified xsi:type="dcterms:W3CDTF">2026-06-13T12:06:53Z</dcterms:modified>
</cp:coreProperties>
</file>